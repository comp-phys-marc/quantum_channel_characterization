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usedwards/Documents/Projects/EECE571F/"/>
    </mc:Choice>
  </mc:AlternateContent>
  <xr:revisionPtr revIDLastSave="0" documentId="13_ncr:1_{E34BD11B-8377-584C-9EBC-526B5126D58F}" xr6:coauthVersionLast="47" xr6:coauthVersionMax="47" xr10:uidLastSave="{00000000-0000-0000-0000-000000000000}"/>
  <bookViews>
    <workbookView minimized="1" xWindow="1100" yWindow="820" windowWidth="28040" windowHeight="17440" xr2:uid="{B5BBAECF-680A-EA45-B7E1-873697CAF963}"/>
  </bookViews>
  <sheets>
    <sheet name="Sheet1" sheetId="1" r:id="rId1"/>
  </sheets>
  <definedNames>
    <definedName name="_xlchart.v2.0" hidden="1">Sheet1!$A$66</definedName>
    <definedName name="_xlchart.v2.1" hidden="1">Sheet1!$A$67:$A$70</definedName>
    <definedName name="_xlchart.v2.2" hidden="1">Sheet1!$B$66</definedName>
    <definedName name="_xlchart.v2.3" hidden="1">Sheet1!$B$67:$B$70</definedName>
    <definedName name="_xlchart.v2.4" hidden="1">Sheet1!$C$66</definedName>
    <definedName name="_xlchart.v2.5" hidden="1">Sheet1!$C$67:$C$70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1" l="1"/>
  <c r="B88" i="1"/>
  <c r="B89" i="1"/>
  <c r="C70" i="1"/>
  <c r="F68" i="1" a="1"/>
  <c r="F68" i="1" s="1"/>
  <c r="F67" i="1" a="1"/>
  <c r="F67" i="1" s="1"/>
  <c r="C68" i="1"/>
  <c r="C69" i="1"/>
  <c r="C67" i="1"/>
  <c r="AJ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33" i="1"/>
  <c r="AO34" i="1"/>
  <c r="AO46" i="1"/>
  <c r="AN34" i="1"/>
  <c r="AN35" i="1"/>
  <c r="AO35" i="1" s="1"/>
  <c r="AN36" i="1"/>
  <c r="AO36" i="1" s="1"/>
  <c r="AN37" i="1"/>
  <c r="AO37" i="1" s="1"/>
  <c r="AN38" i="1"/>
  <c r="AO38" i="1" s="1"/>
  <c r="AN39" i="1"/>
  <c r="AO39" i="1" s="1"/>
  <c r="AN40" i="1"/>
  <c r="AO40" i="1" s="1"/>
  <c r="AN41" i="1"/>
  <c r="AO41" i="1" s="1"/>
  <c r="AN42" i="1"/>
  <c r="AO42" i="1" s="1"/>
  <c r="AN43" i="1"/>
  <c r="AN44" i="1"/>
  <c r="AO44" i="1" s="1"/>
  <c r="AN45" i="1"/>
  <c r="AO45" i="1" s="1"/>
  <c r="AN46" i="1"/>
  <c r="AN47" i="1"/>
  <c r="AO47" i="1" s="1"/>
  <c r="AN48" i="1"/>
  <c r="AO48" i="1" s="1"/>
  <c r="AN49" i="1"/>
  <c r="AO49" i="1" s="1"/>
  <c r="AN50" i="1"/>
  <c r="AO50" i="1" s="1"/>
  <c r="AN51" i="1"/>
  <c r="AQ51" i="1" s="1" a="1"/>
  <c r="AQ51" i="1" s="1"/>
  <c r="AN52" i="1"/>
  <c r="AO52" i="1" s="1"/>
  <c r="AN53" i="1"/>
  <c r="AO53" i="1" s="1"/>
  <c r="AN54" i="1"/>
  <c r="AQ54" i="1" s="1" a="1"/>
  <c r="AQ54" i="1" s="1"/>
  <c r="AN55" i="1"/>
  <c r="AQ55" i="1" s="1" a="1"/>
  <c r="AQ55" i="1" s="1"/>
  <c r="AN56" i="1"/>
  <c r="AO56" i="1" s="1"/>
  <c r="AN57" i="1"/>
  <c r="AN58" i="1"/>
  <c r="AO58" i="1" s="1"/>
  <c r="AN59" i="1"/>
  <c r="AQ59" i="1" s="1" a="1"/>
  <c r="AQ59" i="1" s="1"/>
  <c r="AN60" i="1"/>
  <c r="AQ60" i="1" s="1" a="1"/>
  <c r="AQ60" i="1" s="1"/>
  <c r="AN61" i="1"/>
  <c r="AO61" i="1" s="1"/>
  <c r="AN62" i="1"/>
  <c r="AO62" i="1" s="1"/>
  <c r="AN63" i="1"/>
  <c r="AO63" i="1" s="1"/>
  <c r="AN64" i="1"/>
  <c r="AO64" i="1" s="1"/>
  <c r="AN65" i="1"/>
  <c r="AO65" i="1" s="1"/>
  <c r="AN66" i="1"/>
  <c r="AQ66" i="1" s="1" a="1"/>
  <c r="AQ66" i="1" s="1"/>
  <c r="AN67" i="1"/>
  <c r="AO67" i="1" s="1"/>
  <c r="AN68" i="1"/>
  <c r="AO68" i="1" s="1"/>
  <c r="AN69" i="1"/>
  <c r="AO69" i="1" s="1"/>
  <c r="AN70" i="1"/>
  <c r="AO70" i="1" s="1"/>
  <c r="AN71" i="1"/>
  <c r="AO71" i="1" s="1"/>
  <c r="AN72" i="1"/>
  <c r="AO72" i="1" s="1"/>
  <c r="AN73" i="1"/>
  <c r="AO73" i="1" s="1"/>
  <c r="AN74" i="1"/>
  <c r="AO74" i="1" s="1"/>
  <c r="AN75" i="1"/>
  <c r="AO75" i="1" s="1"/>
  <c r="AN76" i="1"/>
  <c r="AO76" i="1" s="1"/>
  <c r="AN77" i="1"/>
  <c r="AO77" i="1" s="1"/>
  <c r="AN78" i="1"/>
  <c r="AO78" i="1" s="1"/>
  <c r="AN33" i="1"/>
  <c r="AO33" i="1" s="1"/>
  <c r="AA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G52" i="1" s="1" a="1"/>
  <c r="AG52" i="1" s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33" i="1"/>
  <c r="AE34" i="1"/>
  <c r="AE35" i="1"/>
  <c r="AE36" i="1"/>
  <c r="AE37" i="1"/>
  <c r="AG37" i="1" s="1" a="1"/>
  <c r="AG37" i="1" s="1"/>
  <c r="AE38" i="1"/>
  <c r="AE39" i="1"/>
  <c r="AE40" i="1"/>
  <c r="AG40" i="1" s="1" a="1"/>
  <c r="AG40" i="1" s="1"/>
  <c r="AE41" i="1"/>
  <c r="AE42" i="1"/>
  <c r="AE43" i="1"/>
  <c r="AE44" i="1"/>
  <c r="AG44" i="1" s="1" a="1"/>
  <c r="AG44" i="1" s="1"/>
  <c r="AE45" i="1"/>
  <c r="AG45" i="1" s="1" a="1"/>
  <c r="AG45" i="1" s="1"/>
  <c r="AE46" i="1"/>
  <c r="AE47" i="1"/>
  <c r="AE48" i="1"/>
  <c r="AE49" i="1"/>
  <c r="AG49" i="1" s="1" a="1"/>
  <c r="AG49" i="1" s="1"/>
  <c r="AE50" i="1"/>
  <c r="AE51" i="1"/>
  <c r="AE52" i="1"/>
  <c r="AE53" i="1"/>
  <c r="AE54" i="1"/>
  <c r="AE55" i="1"/>
  <c r="AE56" i="1"/>
  <c r="AG56" i="1" s="1" a="1"/>
  <c r="AG56" i="1" s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G73" i="1" s="1" a="1"/>
  <c r="AG73" i="1" s="1"/>
  <c r="AE74" i="1"/>
  <c r="AE75" i="1"/>
  <c r="AE76" i="1"/>
  <c r="AE77" i="1"/>
  <c r="AE78" i="1"/>
  <c r="AE33" i="1"/>
  <c r="W52" i="1" a="1"/>
  <c r="W52" i="1"/>
  <c r="X33" i="1"/>
  <c r="V37" i="1"/>
  <c r="V38" i="1"/>
  <c r="V39" i="1"/>
  <c r="W39" i="1" s="1" a="1"/>
  <c r="W39" i="1" s="1"/>
  <c r="V40" i="1"/>
  <c r="V41" i="1"/>
  <c r="V42" i="1"/>
  <c r="W42" i="1" s="1" a="1"/>
  <c r="W42" i="1" s="1"/>
  <c r="V43" i="1"/>
  <c r="V44" i="1"/>
  <c r="V45" i="1"/>
  <c r="V46" i="1"/>
  <c r="V47" i="1"/>
  <c r="V48" i="1"/>
  <c r="V49" i="1"/>
  <c r="V50" i="1"/>
  <c r="V51" i="1"/>
  <c r="W51" i="1" s="1" a="1"/>
  <c r="W51" i="1" s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34" i="1"/>
  <c r="V35" i="1"/>
  <c r="V36" i="1"/>
  <c r="V33" i="1"/>
  <c r="W33" i="1" s="1" a="1"/>
  <c r="W33" i="1" s="1"/>
  <c r="U58" i="1"/>
  <c r="U59" i="1"/>
  <c r="U60" i="1"/>
  <c r="U61" i="1"/>
  <c r="W61" i="1" s="1" a="1"/>
  <c r="W61" i="1" s="1"/>
  <c r="U62" i="1"/>
  <c r="W62" i="1" s="1" a="1"/>
  <c r="W62" i="1" s="1"/>
  <c r="U63" i="1"/>
  <c r="U64" i="1"/>
  <c r="W64" i="1" s="1" a="1"/>
  <c r="W64" i="1" s="1"/>
  <c r="U65" i="1"/>
  <c r="U66" i="1"/>
  <c r="U67" i="1"/>
  <c r="W67" i="1" s="1" a="1"/>
  <c r="W67" i="1" s="1"/>
  <c r="U68" i="1"/>
  <c r="U69" i="1"/>
  <c r="U70" i="1"/>
  <c r="U71" i="1"/>
  <c r="U72" i="1"/>
  <c r="U73" i="1"/>
  <c r="W73" i="1" s="1" a="1"/>
  <c r="W73" i="1" s="1"/>
  <c r="U74" i="1"/>
  <c r="U75" i="1"/>
  <c r="U76" i="1"/>
  <c r="W76" i="1" s="1" a="1"/>
  <c r="W76" i="1" s="1"/>
  <c r="U77" i="1"/>
  <c r="U78" i="1"/>
  <c r="U34" i="1"/>
  <c r="U35" i="1"/>
  <c r="W35" i="1" s="1" a="1"/>
  <c r="W35" i="1" s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33" i="1"/>
  <c r="AG42" i="1" l="1" a="1"/>
  <c r="AG42" i="1" s="1"/>
  <c r="AG51" i="1" a="1"/>
  <c r="AG51" i="1" s="1"/>
  <c r="AG39" i="1" a="1"/>
  <c r="AG39" i="1" s="1"/>
  <c r="W78" i="1" a="1"/>
  <c r="W78" i="1" s="1"/>
  <c r="W43" i="1" a="1"/>
  <c r="W43" i="1" s="1"/>
  <c r="AG36" i="1" a="1"/>
  <c r="AG36" i="1" s="1"/>
  <c r="W45" i="1" a="1"/>
  <c r="W45" i="1" s="1"/>
  <c r="W56" i="1" a="1"/>
  <c r="W56" i="1" s="1"/>
  <c r="AG62" i="1" a="1"/>
  <c r="AG62" i="1" s="1"/>
  <c r="AG38" i="1" a="1"/>
  <c r="AG38" i="1" s="1"/>
  <c r="W53" i="1" a="1"/>
  <c r="W53" i="1" s="1"/>
  <c r="AG72" i="1" a="1"/>
  <c r="AG72" i="1" s="1"/>
  <c r="V79" i="1"/>
  <c r="AG71" i="1" a="1"/>
  <c r="AG71" i="1" s="1"/>
  <c r="AG59" i="1" a="1"/>
  <c r="AG59" i="1" s="1"/>
  <c r="AG47" i="1" a="1"/>
  <c r="AG47" i="1" s="1"/>
  <c r="AG35" i="1" a="1"/>
  <c r="AG35" i="1" s="1"/>
  <c r="AQ57" i="1" a="1"/>
  <c r="AQ57" i="1" s="1"/>
  <c r="AG43" i="1" a="1"/>
  <c r="AG43" i="1" s="1"/>
  <c r="AG66" i="1" a="1"/>
  <c r="AG66" i="1" s="1"/>
  <c r="AG41" i="1" a="1"/>
  <c r="AG41" i="1" s="1"/>
  <c r="W44" i="1" a="1"/>
  <c r="W44" i="1" s="1"/>
  <c r="W66" i="1" a="1"/>
  <c r="W66" i="1" s="1"/>
  <c r="AG50" i="1" a="1"/>
  <c r="AG50" i="1" s="1"/>
  <c r="AG46" i="1" a="1"/>
  <c r="AG46" i="1" s="1"/>
  <c r="AQ43" i="1" a="1"/>
  <c r="AQ43" i="1" s="1"/>
  <c r="AG53" i="1" a="1"/>
  <c r="AG53" i="1" s="1"/>
  <c r="AQ33" i="1" a="1"/>
  <c r="AQ33" i="1" s="1"/>
  <c r="AO57" i="1"/>
  <c r="AQ42" i="1" a="1"/>
  <c r="AQ42" i="1" s="1"/>
  <c r="W38" i="1" a="1"/>
  <c r="W38" i="1" s="1"/>
  <c r="W72" i="1" a="1"/>
  <c r="W72" i="1" s="1"/>
  <c r="W49" i="1" a="1"/>
  <c r="W49" i="1" s="1"/>
  <c r="W37" i="1" a="1"/>
  <c r="W37" i="1" s="1"/>
  <c r="W71" i="1" a="1"/>
  <c r="W71" i="1" s="1"/>
  <c r="W59" i="1" a="1"/>
  <c r="W59" i="1" s="1"/>
  <c r="W47" i="1" a="1"/>
  <c r="W47" i="1" s="1"/>
  <c r="W57" i="1" a="1"/>
  <c r="W57" i="1" s="1"/>
  <c r="W46" i="1" a="1"/>
  <c r="W46" i="1" s="1"/>
  <c r="AQ78" i="1" a="1"/>
  <c r="AQ78" i="1" s="1"/>
  <c r="AQ40" i="1" a="1"/>
  <c r="AQ40" i="1" s="1"/>
  <c r="AO55" i="1"/>
  <c r="AO43" i="1"/>
  <c r="AO66" i="1"/>
  <c r="AO54" i="1"/>
  <c r="AQ74" i="1" a="1"/>
  <c r="AQ74" i="1" s="1"/>
  <c r="AQ39" i="1" a="1"/>
  <c r="AQ39" i="1" s="1"/>
  <c r="AQ52" i="1" a="1"/>
  <c r="AQ52" i="1" s="1"/>
  <c r="W41" i="1" a="1"/>
  <c r="W41" i="1" s="1"/>
  <c r="W54" i="1" a="1"/>
  <c r="W54" i="1" s="1"/>
  <c r="W75" i="1" a="1"/>
  <c r="W75" i="1" s="1"/>
  <c r="W63" i="1" a="1"/>
  <c r="W63" i="1" s="1"/>
  <c r="AQ72" i="1" a="1"/>
  <c r="AQ72" i="1" s="1"/>
  <c r="AQ38" i="1" a="1"/>
  <c r="AQ38" i="1" s="1"/>
  <c r="AO51" i="1"/>
  <c r="AQ37" i="1" a="1"/>
  <c r="AQ37" i="1" s="1"/>
  <c r="AQ47" i="1" a="1"/>
  <c r="AQ47" i="1" s="1"/>
  <c r="AQ35" i="1" a="1"/>
  <c r="AQ35" i="1" s="1"/>
  <c r="AG33" i="1" a="1"/>
  <c r="AG33" i="1" s="1"/>
  <c r="AG79" i="1" s="1"/>
  <c r="AG67" i="1" a="1"/>
  <c r="AG67" i="1" s="1"/>
  <c r="AO60" i="1"/>
  <c r="AO59" i="1"/>
  <c r="AO79" i="1" l="1"/>
  <c r="W79" i="1"/>
  <c r="AQ7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<sst xmlns="http://schemas.openxmlformats.org/spreadsheetml/2006/main" count="19" uniqueCount="18">
  <si>
    <t>Laplacian</t>
  </si>
  <si>
    <t>Density matrix</t>
  </si>
  <si>
    <t>Kraus channel</t>
  </si>
  <si>
    <t>Tomography</t>
  </si>
  <si>
    <t>2 layers</t>
  </si>
  <si>
    <t>3 layers</t>
  </si>
  <si>
    <t>4 layers</t>
  </si>
  <si>
    <t>original approach</t>
  </si>
  <si>
    <t>graph laplacian</t>
  </si>
  <si>
    <t>32/46</t>
  </si>
  <si>
    <t>27/46</t>
  </si>
  <si>
    <t>2,2</t>
  </si>
  <si>
    <t>2,3</t>
  </si>
  <si>
    <t>20/46</t>
  </si>
  <si>
    <t>Direct comparison</t>
  </si>
  <si>
    <t>Density Matrix</t>
  </si>
  <si>
    <t>Layers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</si>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</sst>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9.8000000000000007"/>
      <color rgb="FFBCBEC4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2-Qubit Performance Scaling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Laplacian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Sheet1!$D$3:$D$5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Sheet1!$A$3:$A$5</c:f>
              <c:numCache>
                <c:formatCode>General</c:formatCode>
                <c:ptCount val="3"/>
                <c:pt idx="0">
                  <c:v>1097.01</c:v>
                </c:pt>
                <c:pt idx="1">
                  <c:v>14559.378000000001</c:v>
                </c:pt>
                <c:pt idx="2">
                  <c:v>251362.774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15-1E4A-9BE6-A6046995774E}"/>
            </c:ext>
          </c:extLst>
        </c:ser>
        <c:ser>
          <c:idx val="1"/>
          <c:order val="1"/>
          <c:tx>
            <c:strRef>
              <c:f>Sheet1!$B$2</c:f>
              <c:strCache>
                <c:ptCount val="1"/>
                <c:pt idx="0">
                  <c:v>Density matrix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Sheet1!$D$3:$D$5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Sheet1!$B$3:$B$5</c:f>
              <c:numCache>
                <c:formatCode>General</c:formatCode>
                <c:ptCount val="3"/>
                <c:pt idx="0">
                  <c:v>253.64699999999999</c:v>
                </c:pt>
                <c:pt idx="1">
                  <c:v>4111.5159999999996</c:v>
                </c:pt>
                <c:pt idx="2">
                  <c:v>79616.144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15-1E4A-9BE6-A6046995774E}"/>
            </c:ext>
          </c:extLst>
        </c:ser>
        <c:ser>
          <c:idx val="2"/>
          <c:order val="2"/>
          <c:tx>
            <c:strRef>
              <c:f>Sheet1!$C$2</c:f>
              <c:strCache>
                <c:ptCount val="1"/>
                <c:pt idx="0">
                  <c:v>Kraus channel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Sheet1!$D$3:$D$5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Sheet1!$C$3:$C$5</c:f>
              <c:numCache>
                <c:formatCode>General</c:formatCode>
                <c:ptCount val="3"/>
                <c:pt idx="0">
                  <c:v>114.73399999999999</c:v>
                </c:pt>
                <c:pt idx="1">
                  <c:v>1894.7059999999999</c:v>
                </c:pt>
                <c:pt idx="2">
                  <c:v>43579.661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15-1E4A-9BE6-A60469957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493344"/>
        <c:axId val="354576720"/>
      </c:lineChart>
      <c:catAx>
        <c:axId val="35449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Layers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576720"/>
        <c:crosses val="autoZero"/>
        <c:auto val="1"/>
        <c:lblAlgn val="ctr"/>
        <c:lblOffset val="100"/>
        <c:noMultiLvlLbl val="0"/>
      </c:catAx>
      <c:valAx>
        <c:axId val="35457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49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Tomography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Sheet1!$A$34:$A$35</c:f>
              <c:strCache>
                <c:ptCount val="2"/>
                <c:pt idx="0">
                  <c:v>Tomography</c:v>
                </c:pt>
                <c:pt idx="1">
                  <c:v>2 layers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Sheet1!$D$36:$D$38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Sheet1!$A$36:$A$38</c:f>
              <c:numCache>
                <c:formatCode>General</c:formatCode>
                <c:ptCount val="3"/>
                <c:pt idx="0">
                  <c:v>2115.1950000000002</c:v>
                </c:pt>
                <c:pt idx="1">
                  <c:v>30218.309000000001</c:v>
                </c:pt>
                <c:pt idx="2">
                  <c:v>537522.75300000003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BF-EE4A-97D2-2628E97E6CBC}"/>
            </c:ext>
          </c:extLst>
        </c:ser>
        <c:ser>
          <c:idx val="1"/>
          <c:order val="1"/>
          <c:tx>
            <c:strRef>
              <c:f>Sheet1!$B$34:$B$35</c:f>
              <c:strCache>
                <c:ptCount val="2"/>
                <c:pt idx="0">
                  <c:v>Tomography</c:v>
                </c:pt>
                <c:pt idx="1">
                  <c:v>3 layers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Sheet1!$D$36:$D$38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Sheet1!$B$36:$B$38</c:f>
              <c:numCache>
                <c:formatCode>General</c:formatCode>
                <c:ptCount val="3"/>
                <c:pt idx="0">
                  <c:v>2003.15</c:v>
                </c:pt>
                <c:pt idx="1">
                  <c:v>31700.879000000001</c:v>
                </c:pt>
                <c:pt idx="2">
                  <c:v>584622.01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BF-EE4A-97D2-2628E97E6CBC}"/>
            </c:ext>
          </c:extLst>
        </c:ser>
        <c:ser>
          <c:idx val="2"/>
          <c:order val="2"/>
          <c:tx>
            <c:strRef>
              <c:f>Sheet1!$C$34:$C$35</c:f>
              <c:strCache>
                <c:ptCount val="2"/>
                <c:pt idx="0">
                  <c:v>Tomography</c:v>
                </c:pt>
                <c:pt idx="1">
                  <c:v>4 layers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Sheet1!$D$36:$D$38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Sheet1!$C$36:$C$38</c:f>
              <c:numCache>
                <c:formatCode>General</c:formatCode>
                <c:ptCount val="3"/>
                <c:pt idx="0">
                  <c:v>2280.0949999999998</c:v>
                </c:pt>
                <c:pt idx="1">
                  <c:v>31397.206999999999</c:v>
                </c:pt>
                <c:pt idx="2">
                  <c:v>634056.321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BF-EE4A-97D2-2628E97E6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0890623"/>
        <c:axId val="1620013888"/>
      </c:lineChart>
      <c:catAx>
        <c:axId val="87089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Qubits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013888"/>
        <c:crosses val="autoZero"/>
        <c:auto val="1"/>
        <c:lblAlgn val="ctr"/>
        <c:lblOffset val="100"/>
        <c:noMultiLvlLbl val="0"/>
      </c:catAx>
      <c:valAx>
        <c:axId val="162001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89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2-Qubit Ab Initio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Sheet1!$A$66</c:f>
              <c:strCache>
                <c:ptCount val="1"/>
                <c:pt idx="0">
                  <c:v>Laplacian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Sheet1!$D$67:$D$69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Sheet1!$A$67:$A$69</c:f>
              <c:numCache>
                <c:formatCode>General</c:formatCode>
                <c:ptCount val="3"/>
                <c:pt idx="0">
                  <c:v>120.083</c:v>
                </c:pt>
                <c:pt idx="1">
                  <c:v>1902.8409999999999</c:v>
                </c:pt>
                <c:pt idx="2">
                  <c:v>30158.742999999999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AE-BD41-97F2-9234F09370B4}"/>
            </c:ext>
          </c:extLst>
        </c:ser>
        <c:ser>
          <c:idx val="1"/>
          <c:order val="1"/>
          <c:tx>
            <c:strRef>
              <c:f>Sheet1!$B$66</c:f>
              <c:strCache>
                <c:ptCount val="1"/>
                <c:pt idx="0">
                  <c:v>Density Matrix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Sheet1!$D$67:$D$69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Sheet1!$B$67:$B$69</c:f>
              <c:numCache>
                <c:formatCode>General</c:formatCode>
                <c:ptCount val="3"/>
                <c:pt idx="0">
                  <c:v>213.60900000000001</c:v>
                </c:pt>
                <c:pt idx="1">
                  <c:v>3296.7440000000001</c:v>
                </c:pt>
                <c:pt idx="2">
                  <c:v>51611.423000000003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AE-BD41-97F2-9234F0937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043440"/>
        <c:axId val="351040288"/>
      </c:lineChart>
      <c:catAx>
        <c:axId val="35104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Layers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040288"/>
        <c:crosses val="autoZero"/>
        <c:auto val="1"/>
        <c:lblAlgn val="ctr"/>
        <c:lblOffset val="100"/>
        <c:noMultiLvlLbl val="0"/>
      </c:catAx>
      <c:valAx>
        <c:axId val="35104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04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768350</xdr:colOff>
      <xdr:row>6</xdr:row>
      <xdr:rowOff>25400</xdr:rowOff>
    </xdr:from>
    <xdr:to>
      <xdr:col>14</xdr:col>
      <xdr:colOff>190500</xdr:colOff>
      <xdr:row>30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9F0628-E3ED-4558-0594-C2911F079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749300</xdr:colOff>
      <xdr:row>32</xdr:row>
      <xdr:rowOff>31750</xdr:rowOff>
    </xdr:from>
    <xdr:to>
      <xdr:col>14</xdr:col>
      <xdr:colOff>50800</xdr:colOff>
      <xdr:row>62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E76BAA-19D7-3AD2-0B46-1BCCC0160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692150</xdr:colOff>
      <xdr:row>71</xdr:row>
      <xdr:rowOff>120650</xdr:rowOff>
    </xdr:from>
    <xdr:to>
      <xdr:col>16</xdr:col>
      <xdr:colOff>139700</xdr:colOff>
      <xdr:row>102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100448-034B-15E1-4BCB-86E09F405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3973-3BF3-2745-AF8D-DE558609215C}">
  <dimension ref="A2:AQ89"/>
  <sheetViews>
    <sheetView tabSelected="1" topLeftCell="A61" workbookViewId="0">
      <selection activeCell="J5" sqref="J5"/>
    </sheetView>
  </sheetViews>
  <sheetFormatPr baseColWidth="10" defaultRowHeight="16"/>
  <cols>
    <col min="19" max="19" width="20.33203125" customWidth="1"/>
    <col min="20" max="20" width="34.33203125" customWidth="1"/>
  </cols>
  <sheetData>
    <row r="2" spans="1:4">
      <c r="A2" t="s">
        <v>0</v>
      </c>
      <c r="B2" t="s">
        <v>1</v>
      </c>
      <c r="C2" t="s">
        <v>2</v>
      </c>
    </row>
    <row r="3" spans="1:4">
      <c r="A3">
        <v>1097.01</v>
      </c>
      <c r="B3">
        <v>253.64699999999999</v>
      </c>
      <c r="C3">
        <v>114.73399999999999</v>
      </c>
      <c r="D3">
        <v>2</v>
      </c>
    </row>
    <row r="4" spans="1:4">
      <c r="A4">
        <v>14559.378000000001</v>
      </c>
      <c r="B4">
        <v>4111.5159999999996</v>
      </c>
      <c r="C4">
        <v>1894.7059999999999</v>
      </c>
      <c r="D4">
        <v>3</v>
      </c>
    </row>
    <row r="5" spans="1:4">
      <c r="A5">
        <v>251362.774</v>
      </c>
      <c r="B5">
        <v>79616.144</v>
      </c>
      <c r="C5">
        <v>43579.661</v>
      </c>
      <c r="D5">
        <v>4</v>
      </c>
    </row>
    <row r="6" spans="1:4">
      <c r="A6">
        <v>717763.76</v>
      </c>
      <c r="B6">
        <v>109594.58100000001</v>
      </c>
      <c r="C6">
        <v>59845.974999999999</v>
      </c>
      <c r="D6">
        <v>2</v>
      </c>
    </row>
    <row r="29" spans="19:29">
      <c r="S29" t="s">
        <v>11</v>
      </c>
      <c r="AC29" t="s">
        <v>12</v>
      </c>
    </row>
    <row r="32" spans="19:29">
      <c r="S32" t="s">
        <v>7</v>
      </c>
      <c r="T32" t="s">
        <v>8</v>
      </c>
    </row>
    <row r="33" spans="1:43">
      <c r="R33">
        <v>1</v>
      </c>
      <c r="S33" s="1">
        <v>1.43051147460937E-2</v>
      </c>
      <c r="T33" s="1">
        <v>2.86102294921875E-3</v>
      </c>
      <c r="U33" t="b">
        <f>T33&lt;S33</f>
        <v>1</v>
      </c>
      <c r="V33">
        <f>S33-T33</f>
        <v>1.144409179687495E-2</v>
      </c>
      <c r="W33" cm="1">
        <f t="array" ref="W33">IF(U33, V33, null)</f>
        <v>1.144409179687495E-2</v>
      </c>
      <c r="X33">
        <f>32/46</f>
        <v>0.69565217391304346</v>
      </c>
      <c r="AA33">
        <f>27/46</f>
        <v>0.58695652173913049</v>
      </c>
      <c r="AC33" s="1">
        <v>4.1007995605468701E-2</v>
      </c>
      <c r="AD33" s="1">
        <v>3.0994415283203099E-3</v>
      </c>
      <c r="AE33" t="b">
        <f>AD33&lt;AC33</f>
        <v>1</v>
      </c>
      <c r="AF33">
        <f>AC33-AD33</f>
        <v>3.7908554077148389E-2</v>
      </c>
      <c r="AG33" cm="1">
        <f t="array" ref="AG33">IF(AE33,AF33,null)</f>
        <v>3.7908554077148389E-2</v>
      </c>
      <c r="AJ33">
        <f>20/46</f>
        <v>0.43478260869565216</v>
      </c>
      <c r="AL33" s="1">
        <v>7.6055526733398396E-2</v>
      </c>
      <c r="AM33" s="1">
        <v>5.9604644775390599E-3</v>
      </c>
      <c r="AN33" t="b">
        <f>AM33&lt;AL33</f>
        <v>1</v>
      </c>
      <c r="AO33">
        <f>INT(AN33)</f>
        <v>1</v>
      </c>
      <c r="AP33">
        <f>AL33-AM33</f>
        <v>7.0095062255859333E-2</v>
      </c>
      <c r="AQ33" cm="1">
        <f t="array" ref="AQ33">IF(AN33,AP33,null)</f>
        <v>7.0095062255859333E-2</v>
      </c>
    </row>
    <row r="34" spans="1:43">
      <c r="A34" t="s">
        <v>3</v>
      </c>
      <c r="R34">
        <v>2</v>
      </c>
      <c r="S34" s="1">
        <v>3.0994415283203099E-3</v>
      </c>
      <c r="T34" s="1">
        <v>4.0531158447265599E-3</v>
      </c>
      <c r="U34" t="b">
        <f t="shared" ref="U34:U78" si="0">T34&lt;S34</f>
        <v>0</v>
      </c>
      <c r="V34">
        <f t="shared" ref="V34:V78" si="1">S34-T34</f>
        <v>-9.5367431640625E-4</v>
      </c>
      <c r="X34" t="s">
        <v>9</v>
      </c>
      <c r="AA34" t="s">
        <v>10</v>
      </c>
      <c r="AC34" s="1">
        <v>3.0994415283203099E-3</v>
      </c>
      <c r="AD34" s="1">
        <v>1.5020370483398399E-2</v>
      </c>
      <c r="AE34" t="b">
        <f t="shared" ref="AE34:AE78" si="2">AD34&lt;AC34</f>
        <v>0</v>
      </c>
      <c r="AF34">
        <f t="shared" ref="AF34:AF78" si="3">AC34-AD34</f>
        <v>-1.192092895507809E-2</v>
      </c>
      <c r="AJ34" t="s">
        <v>13</v>
      </c>
      <c r="AL34" s="1">
        <v>4.0531158447265599E-3</v>
      </c>
      <c r="AM34" s="1">
        <v>4.0769577026367097E-2</v>
      </c>
      <c r="AN34" t="b">
        <f t="shared" ref="AN34:AN78" si="4">AM34&lt;AL34</f>
        <v>0</v>
      </c>
      <c r="AO34">
        <f t="shared" ref="AO34:AO78" si="5">INT(AN34)</f>
        <v>0</v>
      </c>
      <c r="AP34">
        <f t="shared" ref="AP34:AP78" si="6">AL34-AM34</f>
        <v>-3.6716461181640535E-2</v>
      </c>
    </row>
    <row r="35" spans="1:43">
      <c r="A35" t="s">
        <v>4</v>
      </c>
      <c r="B35" t="s">
        <v>5</v>
      </c>
      <c r="C35" t="s">
        <v>6</v>
      </c>
      <c r="R35">
        <v>3</v>
      </c>
      <c r="S35" s="1">
        <v>6.9141387939453099E-3</v>
      </c>
      <c r="T35" s="1">
        <v>2.1457672119140599E-3</v>
      </c>
      <c r="U35" t="b">
        <f t="shared" si="0"/>
        <v>1</v>
      </c>
      <c r="V35">
        <f t="shared" si="1"/>
        <v>4.76837158203125E-3</v>
      </c>
      <c r="W35" cm="1">
        <f t="array" ref="W35">IF(U35, V35, null)</f>
        <v>4.76837158203125E-3</v>
      </c>
      <c r="AC35" s="1">
        <v>1.2159347534179601E-2</v>
      </c>
      <c r="AD35" s="1">
        <v>3.0994415283203099E-3</v>
      </c>
      <c r="AE35" t="b">
        <f t="shared" si="2"/>
        <v>1</v>
      </c>
      <c r="AF35">
        <f t="shared" si="3"/>
        <v>9.0599060058592917E-3</v>
      </c>
      <c r="AG35" cm="1">
        <f t="array" ref="AG35">IF(AE35,AF35,null)</f>
        <v>9.0599060058592917E-3</v>
      </c>
      <c r="AL35" s="1">
        <v>2.69412994384765E-2</v>
      </c>
      <c r="AM35" s="1">
        <v>4.0531158447265599E-3</v>
      </c>
      <c r="AN35" t="b">
        <f t="shared" si="4"/>
        <v>1</v>
      </c>
      <c r="AO35">
        <f t="shared" si="5"/>
        <v>1</v>
      </c>
      <c r="AP35">
        <f t="shared" si="6"/>
        <v>2.2888183593749941E-2</v>
      </c>
      <c r="AQ35" cm="1">
        <f t="array" ref="AQ35">IF(AN35,AP35,null)</f>
        <v>2.2888183593749941E-2</v>
      </c>
    </row>
    <row r="36" spans="1:43">
      <c r="A36">
        <v>2115.1950000000002</v>
      </c>
      <c r="B36">
        <v>2003.15</v>
      </c>
      <c r="C36">
        <v>2280.0949999999998</v>
      </c>
      <c r="D36">
        <v>2</v>
      </c>
      <c r="R36">
        <v>4</v>
      </c>
      <c r="S36" s="1">
        <v>1.9073486328125E-3</v>
      </c>
      <c r="T36" s="1">
        <v>2.1457672119140599E-3</v>
      </c>
      <c r="U36" t="b">
        <f t="shared" si="0"/>
        <v>0</v>
      </c>
      <c r="V36">
        <f t="shared" si="1"/>
        <v>-2.384185791015599E-4</v>
      </c>
      <c r="AC36" s="1">
        <v>3.0994415283203099E-3</v>
      </c>
      <c r="AD36" s="1">
        <v>2.1457672119140599E-3</v>
      </c>
      <c r="AE36" t="b">
        <f t="shared" si="2"/>
        <v>1</v>
      </c>
      <c r="AF36">
        <f t="shared" si="3"/>
        <v>9.5367431640625E-4</v>
      </c>
      <c r="AG36" cm="1">
        <f t="array" ref="AG36">IF(AE36,AF36,null)</f>
        <v>9.5367431640625E-4</v>
      </c>
      <c r="AL36" s="1">
        <v>1.9073486328125E-3</v>
      </c>
      <c r="AM36" s="1">
        <v>2.1457672119140599E-3</v>
      </c>
      <c r="AN36" t="b">
        <f t="shared" si="4"/>
        <v>0</v>
      </c>
      <c r="AO36">
        <f t="shared" si="5"/>
        <v>0</v>
      </c>
      <c r="AP36">
        <f t="shared" si="6"/>
        <v>-2.384185791015599E-4</v>
      </c>
    </row>
    <row r="37" spans="1:43">
      <c r="A37">
        <v>30218.309000000001</v>
      </c>
      <c r="B37">
        <v>31700.879000000001</v>
      </c>
      <c r="C37">
        <v>31397.206999999999</v>
      </c>
      <c r="D37">
        <v>3</v>
      </c>
      <c r="R37">
        <v>5</v>
      </c>
      <c r="S37" s="1">
        <v>2.1457672119140599E-3</v>
      </c>
      <c r="T37" s="1">
        <v>1.6689300537109299E-3</v>
      </c>
      <c r="U37" t="b">
        <f t="shared" si="0"/>
        <v>1</v>
      </c>
      <c r="V37">
        <f t="shared" si="1"/>
        <v>4.7683715820312999E-4</v>
      </c>
      <c r="W37" cm="1">
        <f t="array" ref="W37">IF(U37, V37, null)</f>
        <v>4.7683715820312999E-4</v>
      </c>
      <c r="AC37" s="1">
        <v>4.0531158447265599E-3</v>
      </c>
      <c r="AD37" s="1">
        <v>3.0994415283203099E-3</v>
      </c>
      <c r="AE37" t="b">
        <f t="shared" si="2"/>
        <v>1</v>
      </c>
      <c r="AF37">
        <f t="shared" si="3"/>
        <v>9.5367431640625E-4</v>
      </c>
      <c r="AG37" cm="1">
        <f t="array" ref="AG37">IF(AE37,AF37,null)</f>
        <v>9.5367431640625E-4</v>
      </c>
      <c r="AL37" s="1">
        <v>5.2452087402343698E-3</v>
      </c>
      <c r="AM37" s="1">
        <v>2.1457672119140599E-3</v>
      </c>
      <c r="AN37" t="b">
        <f t="shared" si="4"/>
        <v>1</v>
      </c>
      <c r="AO37">
        <f t="shared" si="5"/>
        <v>1</v>
      </c>
      <c r="AP37">
        <f t="shared" si="6"/>
        <v>3.0994415283203099E-3</v>
      </c>
      <c r="AQ37" cm="1">
        <f t="array" ref="AQ37">IF(AN37,AP37,null)</f>
        <v>3.0994415283203099E-3</v>
      </c>
    </row>
    <row r="38" spans="1:43">
      <c r="A38">
        <v>537522.75300000003</v>
      </c>
      <c r="B38">
        <v>584622.01</v>
      </c>
      <c r="C38">
        <v>634056.321</v>
      </c>
      <c r="D38">
        <v>4</v>
      </c>
      <c r="R38">
        <v>6</v>
      </c>
      <c r="S38" s="1">
        <v>3.0994415283203099E-3</v>
      </c>
      <c r="T38" s="1">
        <v>1.9073486328125E-3</v>
      </c>
      <c r="U38" t="b">
        <f t="shared" si="0"/>
        <v>1</v>
      </c>
      <c r="V38">
        <f t="shared" si="1"/>
        <v>1.1920928955078099E-3</v>
      </c>
      <c r="W38" cm="1">
        <f t="array" ref="W38">IF(U38, V38, null)</f>
        <v>1.1920928955078099E-3</v>
      </c>
      <c r="AC38" s="1">
        <v>5.0067901611328099E-3</v>
      </c>
      <c r="AD38" s="1">
        <v>2.1457672119140599E-3</v>
      </c>
      <c r="AE38" t="b">
        <f t="shared" si="2"/>
        <v>1</v>
      </c>
      <c r="AF38">
        <f t="shared" si="3"/>
        <v>2.86102294921875E-3</v>
      </c>
      <c r="AG38" cm="1">
        <f t="array" ref="AG38">IF(AE38,AF38,null)</f>
        <v>2.86102294921875E-3</v>
      </c>
      <c r="AL38" s="1">
        <v>7.1525573730468698E-3</v>
      </c>
      <c r="AM38" s="1">
        <v>1.6689300537109299E-3</v>
      </c>
      <c r="AN38" t="b">
        <f t="shared" si="4"/>
        <v>1</v>
      </c>
      <c r="AO38">
        <f t="shared" si="5"/>
        <v>1</v>
      </c>
      <c r="AP38">
        <f t="shared" si="6"/>
        <v>5.4836273193359401E-3</v>
      </c>
      <c r="AQ38" cm="1">
        <f t="array" ref="AQ38">IF(AN38,AP38,null)</f>
        <v>5.4836273193359401E-3</v>
      </c>
    </row>
    <row r="39" spans="1:43">
      <c r="R39">
        <v>7</v>
      </c>
      <c r="S39" s="1">
        <v>2.1457672119140599E-3</v>
      </c>
      <c r="T39" s="1">
        <v>9.5367431640625E-4</v>
      </c>
      <c r="U39" t="b">
        <f t="shared" si="0"/>
        <v>1</v>
      </c>
      <c r="V39">
        <f t="shared" si="1"/>
        <v>1.1920928955078099E-3</v>
      </c>
      <c r="W39" cm="1">
        <f t="array" ref="W39">IF(U39, V39, null)</f>
        <v>1.1920928955078099E-3</v>
      </c>
      <c r="AC39" s="1">
        <v>2.1457672119140599E-3</v>
      </c>
      <c r="AD39" s="1">
        <v>1.9073486328125E-3</v>
      </c>
      <c r="AE39" t="b">
        <f t="shared" si="2"/>
        <v>1</v>
      </c>
      <c r="AF39">
        <f t="shared" si="3"/>
        <v>2.384185791015599E-4</v>
      </c>
      <c r="AG39" cm="1">
        <f t="array" ref="AG39">IF(AE39,AF39,null)</f>
        <v>2.384185791015599E-4</v>
      </c>
      <c r="AL39" s="1">
        <v>4.0531158447265599E-3</v>
      </c>
      <c r="AM39" s="1">
        <v>2.1457672119140599E-3</v>
      </c>
      <c r="AN39" t="b">
        <f t="shared" si="4"/>
        <v>1</v>
      </c>
      <c r="AO39">
        <f t="shared" si="5"/>
        <v>1</v>
      </c>
      <c r="AP39">
        <f t="shared" si="6"/>
        <v>1.9073486328125E-3</v>
      </c>
      <c r="AQ39" cm="1">
        <f t="array" ref="AQ39">IF(AN39,AP39,null)</f>
        <v>1.9073486328125E-3</v>
      </c>
    </row>
    <row r="40" spans="1:43">
      <c r="R40">
        <v>8</v>
      </c>
      <c r="S40" s="1">
        <v>1.9073486328125E-3</v>
      </c>
      <c r="T40" s="1">
        <v>2.1457672119140599E-3</v>
      </c>
      <c r="U40" t="b">
        <f t="shared" si="0"/>
        <v>0</v>
      </c>
      <c r="V40">
        <f t="shared" si="1"/>
        <v>-2.384185791015599E-4</v>
      </c>
      <c r="AC40" s="1">
        <v>3.814697265625E-3</v>
      </c>
      <c r="AD40" s="1">
        <v>7.1525573730468696E-4</v>
      </c>
      <c r="AE40" t="b">
        <f t="shared" si="2"/>
        <v>1</v>
      </c>
      <c r="AF40">
        <f t="shared" si="3"/>
        <v>3.0994415283203129E-3</v>
      </c>
      <c r="AG40" cm="1">
        <f t="array" ref="AG40">IF(AE40,AF40,null)</f>
        <v>3.0994415283203129E-3</v>
      </c>
      <c r="AL40" s="1">
        <v>4.76837158203125E-3</v>
      </c>
      <c r="AM40" s="1">
        <v>2.1457672119140599E-3</v>
      </c>
      <c r="AN40" t="b">
        <f t="shared" si="4"/>
        <v>1</v>
      </c>
      <c r="AO40">
        <f t="shared" si="5"/>
        <v>1</v>
      </c>
      <c r="AP40">
        <f t="shared" si="6"/>
        <v>2.6226043701171901E-3</v>
      </c>
      <c r="AQ40" cm="1">
        <f t="array" ref="AQ40">IF(AN40,AP40,null)</f>
        <v>2.6226043701171901E-3</v>
      </c>
    </row>
    <row r="41" spans="1:43">
      <c r="R41">
        <v>9</v>
      </c>
      <c r="S41" s="1">
        <v>5.9604644775390599E-3</v>
      </c>
      <c r="T41" s="1">
        <v>2.1457672119140599E-3</v>
      </c>
      <c r="U41" t="b">
        <f t="shared" si="0"/>
        <v>1</v>
      </c>
      <c r="V41">
        <f t="shared" si="1"/>
        <v>3.814697265625E-3</v>
      </c>
      <c r="W41" cm="1">
        <f t="array" ref="W41">IF(U41, V41, null)</f>
        <v>3.814697265625E-3</v>
      </c>
      <c r="AC41" s="1">
        <v>4.0531158447265599E-3</v>
      </c>
      <c r="AD41" s="1">
        <v>9.5367431640625E-4</v>
      </c>
      <c r="AE41" t="b">
        <f t="shared" si="2"/>
        <v>1</v>
      </c>
      <c r="AF41">
        <f t="shared" si="3"/>
        <v>3.0994415283203099E-3</v>
      </c>
      <c r="AG41" cm="1">
        <f t="array" ref="AG41">IF(AE41,AF41,null)</f>
        <v>3.0994415283203099E-3</v>
      </c>
      <c r="AL41" s="1">
        <v>1.9073486328125E-3</v>
      </c>
      <c r="AM41" s="1">
        <v>2.1457672119140599E-3</v>
      </c>
      <c r="AN41" t="b">
        <f t="shared" si="4"/>
        <v>0</v>
      </c>
      <c r="AO41">
        <f t="shared" si="5"/>
        <v>0</v>
      </c>
      <c r="AP41">
        <f t="shared" si="6"/>
        <v>-2.384185791015599E-4</v>
      </c>
    </row>
    <row r="42" spans="1:43">
      <c r="R42">
        <v>10</v>
      </c>
      <c r="S42" s="1">
        <v>1.9073486328125E-3</v>
      </c>
      <c r="T42" s="1">
        <v>7.1525573730468696E-4</v>
      </c>
      <c r="U42" t="b">
        <f t="shared" si="0"/>
        <v>1</v>
      </c>
      <c r="V42">
        <f t="shared" si="1"/>
        <v>1.1920928955078129E-3</v>
      </c>
      <c r="W42" cm="1">
        <f t="array" ref="W42">IF(U42, V42, null)</f>
        <v>1.1920928955078129E-3</v>
      </c>
      <c r="AC42" s="1">
        <v>4.2915344238281198E-3</v>
      </c>
      <c r="AD42" s="1">
        <v>1.1920928955078099E-3</v>
      </c>
      <c r="AE42" t="b">
        <f t="shared" si="2"/>
        <v>1</v>
      </c>
      <c r="AF42">
        <f t="shared" si="3"/>
        <v>3.0994415283203099E-3</v>
      </c>
      <c r="AG42" cm="1">
        <f t="array" ref="AG42">IF(AE42,AF42,null)</f>
        <v>3.0994415283203099E-3</v>
      </c>
      <c r="AL42" s="1">
        <v>3.0994415283203099E-3</v>
      </c>
      <c r="AM42" s="1">
        <v>9.5367431640625E-4</v>
      </c>
      <c r="AN42" t="b">
        <f t="shared" si="4"/>
        <v>1</v>
      </c>
      <c r="AO42">
        <f t="shared" si="5"/>
        <v>1</v>
      </c>
      <c r="AP42">
        <f t="shared" si="6"/>
        <v>2.1457672119140599E-3</v>
      </c>
      <c r="AQ42" cm="1">
        <f t="array" ref="AQ42">IF(AN42,AP42,null)</f>
        <v>2.1457672119140599E-3</v>
      </c>
    </row>
    <row r="43" spans="1:43">
      <c r="R43">
        <v>11</v>
      </c>
      <c r="S43" s="1">
        <v>1.9073486328125E-3</v>
      </c>
      <c r="T43" s="1">
        <v>9.5367431640625E-4</v>
      </c>
      <c r="U43" t="b">
        <f t="shared" si="0"/>
        <v>1</v>
      </c>
      <c r="V43">
        <f t="shared" si="1"/>
        <v>9.5367431640625E-4</v>
      </c>
      <c r="W43" cm="1">
        <f t="array" ref="W43">IF(U43, V43, null)</f>
        <v>9.5367431640625E-4</v>
      </c>
      <c r="AC43" s="1">
        <v>2.1457672119140599E-3</v>
      </c>
      <c r="AD43" s="1">
        <v>9.5367431640625E-4</v>
      </c>
      <c r="AE43" t="b">
        <f t="shared" si="2"/>
        <v>1</v>
      </c>
      <c r="AF43">
        <f t="shared" si="3"/>
        <v>1.1920928955078099E-3</v>
      </c>
      <c r="AG43" cm="1">
        <f t="array" ref="AG43">IF(AE43,AF43,null)</f>
        <v>1.1920928955078099E-3</v>
      </c>
      <c r="AL43" s="1">
        <v>5.2452087402343698E-3</v>
      </c>
      <c r="AM43" s="1">
        <v>9.5367431640625E-4</v>
      </c>
      <c r="AN43" t="b">
        <f t="shared" si="4"/>
        <v>1</v>
      </c>
      <c r="AO43">
        <f t="shared" si="5"/>
        <v>1</v>
      </c>
      <c r="AP43">
        <f t="shared" si="6"/>
        <v>4.2915344238281198E-3</v>
      </c>
      <c r="AQ43" cm="1">
        <f t="array" ref="AQ43">IF(AN43,AP43,null)</f>
        <v>4.2915344238281198E-3</v>
      </c>
    </row>
    <row r="44" spans="1:43">
      <c r="R44">
        <v>12</v>
      </c>
      <c r="S44" s="1">
        <v>2.1457672119140599E-3</v>
      </c>
      <c r="T44" s="1">
        <v>9.5367431640625E-4</v>
      </c>
      <c r="U44" t="b">
        <f t="shared" si="0"/>
        <v>1</v>
      </c>
      <c r="V44">
        <f t="shared" si="1"/>
        <v>1.1920928955078099E-3</v>
      </c>
      <c r="W44" cm="1">
        <f t="array" ref="W44">IF(U44, V44, null)</f>
        <v>1.1920928955078099E-3</v>
      </c>
      <c r="AC44" s="1">
        <v>3.0994415283203099E-3</v>
      </c>
      <c r="AD44" s="1">
        <v>2.1457672119140599E-3</v>
      </c>
      <c r="AE44" t="b">
        <f t="shared" si="2"/>
        <v>1</v>
      </c>
      <c r="AF44">
        <f t="shared" si="3"/>
        <v>9.5367431640625E-4</v>
      </c>
      <c r="AG44" cm="1">
        <f t="array" ref="AG44">IF(AE44,AF44,null)</f>
        <v>9.5367431640625E-4</v>
      </c>
      <c r="AL44" s="1">
        <v>2.86102294921875E-3</v>
      </c>
      <c r="AM44" s="1">
        <v>6.1988830566406198E-3</v>
      </c>
      <c r="AN44" t="b">
        <f t="shared" si="4"/>
        <v>0</v>
      </c>
      <c r="AO44">
        <f t="shared" si="5"/>
        <v>0</v>
      </c>
      <c r="AP44">
        <f t="shared" si="6"/>
        <v>-3.3378601074218698E-3</v>
      </c>
    </row>
    <row r="45" spans="1:43">
      <c r="R45">
        <v>13</v>
      </c>
      <c r="S45" s="1">
        <v>3.0994415283203099E-3</v>
      </c>
      <c r="T45" s="1">
        <v>7.1525573730468696E-4</v>
      </c>
      <c r="U45" t="b">
        <f t="shared" si="0"/>
        <v>1</v>
      </c>
      <c r="V45">
        <f t="shared" si="1"/>
        <v>2.3841857910156228E-3</v>
      </c>
      <c r="W45" cm="1">
        <f t="array" ref="W45">IF(U45, V45, null)</f>
        <v>2.3841857910156228E-3</v>
      </c>
      <c r="AC45" s="1">
        <v>5.0067901611328099E-3</v>
      </c>
      <c r="AD45" s="1">
        <v>2.1457672119140599E-3</v>
      </c>
      <c r="AE45" t="b">
        <f t="shared" si="2"/>
        <v>1</v>
      </c>
      <c r="AF45">
        <f t="shared" si="3"/>
        <v>2.86102294921875E-3</v>
      </c>
      <c r="AG45" cm="1">
        <f t="array" ref="AG45">IF(AE45,AF45,null)</f>
        <v>2.86102294921875E-3</v>
      </c>
      <c r="AL45" s="1">
        <v>3.0994415283203099E-3</v>
      </c>
      <c r="AM45" s="1">
        <v>3.0994415283203099E-3</v>
      </c>
      <c r="AN45" t="b">
        <f t="shared" si="4"/>
        <v>0</v>
      </c>
      <c r="AO45">
        <f t="shared" si="5"/>
        <v>0</v>
      </c>
      <c r="AP45">
        <f t="shared" si="6"/>
        <v>0</v>
      </c>
    </row>
    <row r="46" spans="1:43">
      <c r="R46">
        <v>14</v>
      </c>
      <c r="S46" s="1">
        <v>2.86102294921875E-3</v>
      </c>
      <c r="T46" s="1">
        <v>9.5367431640625E-4</v>
      </c>
      <c r="U46" t="b">
        <f t="shared" si="0"/>
        <v>1</v>
      </c>
      <c r="V46">
        <f t="shared" si="1"/>
        <v>1.9073486328125E-3</v>
      </c>
      <c r="W46" cm="1">
        <f t="array" ref="W46">IF(U46, V46, null)</f>
        <v>1.9073486328125E-3</v>
      </c>
      <c r="AC46" s="1">
        <v>4.0531158447265599E-3</v>
      </c>
      <c r="AD46" s="1">
        <v>2.1457672119140599E-3</v>
      </c>
      <c r="AE46" t="b">
        <f t="shared" si="2"/>
        <v>1</v>
      </c>
      <c r="AF46">
        <f t="shared" si="3"/>
        <v>1.9073486328125E-3</v>
      </c>
      <c r="AG46" cm="1">
        <f t="array" ref="AG46">IF(AE46,AF46,null)</f>
        <v>1.9073486328125E-3</v>
      </c>
      <c r="AL46" s="1">
        <v>3.0994415283203099E-3</v>
      </c>
      <c r="AM46" s="1">
        <v>6.9141387939453099E-3</v>
      </c>
      <c r="AN46" t="b">
        <f t="shared" si="4"/>
        <v>0</v>
      </c>
      <c r="AO46">
        <f t="shared" si="5"/>
        <v>0</v>
      </c>
      <c r="AP46">
        <f t="shared" si="6"/>
        <v>-3.814697265625E-3</v>
      </c>
    </row>
    <row r="47" spans="1:43">
      <c r="R47">
        <v>15</v>
      </c>
      <c r="S47" s="1">
        <v>1.9073486328125E-3</v>
      </c>
      <c r="T47" s="1">
        <v>1.1920928955078099E-3</v>
      </c>
      <c r="U47" t="b">
        <f t="shared" si="0"/>
        <v>1</v>
      </c>
      <c r="V47">
        <f t="shared" si="1"/>
        <v>7.152557373046901E-4</v>
      </c>
      <c r="W47" cm="1">
        <f t="array" ref="W47">IF(U47, V47, null)</f>
        <v>7.152557373046901E-4</v>
      </c>
      <c r="AC47" s="1">
        <v>4.2915344238281198E-3</v>
      </c>
      <c r="AD47" s="1">
        <v>2.1457672119140599E-3</v>
      </c>
      <c r="AE47" t="b">
        <f t="shared" si="2"/>
        <v>1</v>
      </c>
      <c r="AF47">
        <f t="shared" si="3"/>
        <v>2.1457672119140599E-3</v>
      </c>
      <c r="AG47" cm="1">
        <f t="array" ref="AG47">IF(AE47,AF47,null)</f>
        <v>2.1457672119140599E-3</v>
      </c>
      <c r="AL47" s="1">
        <v>3.0994415283203099E-3</v>
      </c>
      <c r="AM47" s="1">
        <v>1.9073486328125E-3</v>
      </c>
      <c r="AN47" t="b">
        <f t="shared" si="4"/>
        <v>1</v>
      </c>
      <c r="AO47">
        <f t="shared" si="5"/>
        <v>1</v>
      </c>
      <c r="AP47">
        <f t="shared" si="6"/>
        <v>1.1920928955078099E-3</v>
      </c>
      <c r="AQ47" cm="1">
        <f t="array" ref="AQ47">IF(AN47,AP47,null)</f>
        <v>1.1920928955078099E-3</v>
      </c>
    </row>
    <row r="48" spans="1:43">
      <c r="R48">
        <v>16</v>
      </c>
      <c r="S48" s="1">
        <v>1.9073486328125E-3</v>
      </c>
      <c r="T48" s="1">
        <v>2.1457672119140599E-3</v>
      </c>
      <c r="U48" t="b">
        <f t="shared" si="0"/>
        <v>0</v>
      </c>
      <c r="V48">
        <f t="shared" si="1"/>
        <v>-2.384185791015599E-4</v>
      </c>
      <c r="AC48" s="1">
        <v>2.1457672119140599E-3</v>
      </c>
      <c r="AD48" s="1">
        <v>3.814697265625E-3</v>
      </c>
      <c r="AE48" t="b">
        <f t="shared" si="2"/>
        <v>0</v>
      </c>
      <c r="AF48">
        <f t="shared" si="3"/>
        <v>-1.6689300537109401E-3</v>
      </c>
      <c r="AL48" s="1">
        <v>1.9073486328125E-3</v>
      </c>
      <c r="AM48" s="1">
        <v>2.86102294921875E-3</v>
      </c>
      <c r="AN48" t="b">
        <f t="shared" si="4"/>
        <v>0</v>
      </c>
      <c r="AO48">
        <f t="shared" si="5"/>
        <v>0</v>
      </c>
      <c r="AP48">
        <f t="shared" si="6"/>
        <v>-9.5367431640625E-4</v>
      </c>
    </row>
    <row r="49" spans="18:43">
      <c r="R49">
        <v>17</v>
      </c>
      <c r="S49" s="1">
        <v>3.0994415283203099E-3</v>
      </c>
      <c r="T49" s="1">
        <v>9.5367431640625E-4</v>
      </c>
      <c r="U49" t="b">
        <f t="shared" si="0"/>
        <v>1</v>
      </c>
      <c r="V49">
        <f t="shared" si="1"/>
        <v>2.1457672119140599E-3</v>
      </c>
      <c r="W49" cm="1">
        <f t="array" ref="W49">IF(U49, V49, null)</f>
        <v>2.1457672119140599E-3</v>
      </c>
      <c r="AC49" s="1">
        <v>2.86102294921875E-3</v>
      </c>
      <c r="AD49" s="1">
        <v>1.1920928955078099E-3</v>
      </c>
      <c r="AE49" t="b">
        <f t="shared" si="2"/>
        <v>1</v>
      </c>
      <c r="AF49">
        <f t="shared" si="3"/>
        <v>1.6689300537109401E-3</v>
      </c>
      <c r="AG49" cm="1">
        <f t="array" ref="AG49">IF(AE49,AF49,null)</f>
        <v>1.6689300537109401E-3</v>
      </c>
      <c r="AL49" s="1">
        <v>3.0994415283203099E-3</v>
      </c>
      <c r="AM49" s="1">
        <v>3.0994415283203099E-3</v>
      </c>
      <c r="AN49" t="b">
        <f t="shared" si="4"/>
        <v>0</v>
      </c>
      <c r="AO49">
        <f t="shared" si="5"/>
        <v>0</v>
      </c>
      <c r="AP49">
        <f t="shared" si="6"/>
        <v>0</v>
      </c>
    </row>
    <row r="50" spans="18:43">
      <c r="R50">
        <v>18</v>
      </c>
      <c r="S50" s="1">
        <v>1.9073486328125E-3</v>
      </c>
      <c r="T50" s="1">
        <v>1.9073486328125E-3</v>
      </c>
      <c r="U50" t="b">
        <f t="shared" si="0"/>
        <v>0</v>
      </c>
      <c r="V50">
        <f t="shared" si="1"/>
        <v>0</v>
      </c>
      <c r="AC50" s="1">
        <v>1.9073486328125E-3</v>
      </c>
      <c r="AD50" s="1">
        <v>9.5367431640625E-4</v>
      </c>
      <c r="AE50" t="b">
        <f t="shared" si="2"/>
        <v>1</v>
      </c>
      <c r="AF50">
        <f t="shared" si="3"/>
        <v>9.5367431640625E-4</v>
      </c>
      <c r="AG50" cm="1">
        <f t="array" ref="AG50">IF(AE50,AF50,null)</f>
        <v>9.5367431640625E-4</v>
      </c>
      <c r="AL50" s="1">
        <v>2.86102294921875E-3</v>
      </c>
      <c r="AM50" s="1">
        <v>4.0531158447265599E-3</v>
      </c>
      <c r="AN50" t="b">
        <f t="shared" si="4"/>
        <v>0</v>
      </c>
      <c r="AO50">
        <f t="shared" si="5"/>
        <v>0</v>
      </c>
      <c r="AP50">
        <f t="shared" si="6"/>
        <v>-1.1920928955078099E-3</v>
      </c>
    </row>
    <row r="51" spans="18:43">
      <c r="R51">
        <v>19</v>
      </c>
      <c r="S51" s="1">
        <v>2.86102294921875E-3</v>
      </c>
      <c r="T51" s="1">
        <v>9.5367431640625E-4</v>
      </c>
      <c r="U51" t="b">
        <f t="shared" si="0"/>
        <v>1</v>
      </c>
      <c r="V51">
        <f t="shared" si="1"/>
        <v>1.9073486328125E-3</v>
      </c>
      <c r="W51" cm="1">
        <f t="array" ref="W51">IF(U51, V51, null)</f>
        <v>1.9073486328125E-3</v>
      </c>
      <c r="AC51" s="1">
        <v>2.86102294921875E-3</v>
      </c>
      <c r="AD51" s="1">
        <v>2.1457672119140599E-3</v>
      </c>
      <c r="AE51" t="b">
        <f t="shared" si="2"/>
        <v>1</v>
      </c>
      <c r="AF51">
        <f t="shared" si="3"/>
        <v>7.152557373046901E-4</v>
      </c>
      <c r="AG51" cm="1">
        <f t="array" ref="AG51">IF(AE51,AF51,null)</f>
        <v>7.152557373046901E-4</v>
      </c>
      <c r="AL51" s="1">
        <v>3.0994415283203099E-3</v>
      </c>
      <c r="AM51" s="1">
        <v>2.1457672119140599E-3</v>
      </c>
      <c r="AN51" t="b">
        <f t="shared" si="4"/>
        <v>1</v>
      </c>
      <c r="AO51">
        <f t="shared" si="5"/>
        <v>1</v>
      </c>
      <c r="AP51">
        <f t="shared" si="6"/>
        <v>9.5367431640625E-4</v>
      </c>
      <c r="AQ51" cm="1">
        <f t="array" ref="AQ51">IF(AN51,AP51,null)</f>
        <v>9.5367431640625E-4</v>
      </c>
    </row>
    <row r="52" spans="18:43">
      <c r="R52">
        <v>20</v>
      </c>
      <c r="S52" s="1">
        <v>3.0994415283203099E-3</v>
      </c>
      <c r="T52" s="1">
        <v>2.1457672119140599E-3</v>
      </c>
      <c r="U52" t="b">
        <f t="shared" si="0"/>
        <v>1</v>
      </c>
      <c r="V52">
        <f t="shared" si="1"/>
        <v>9.5367431640625E-4</v>
      </c>
      <c r="W52" cm="1">
        <f t="array" ref="W52">IF(U52, V52, null)</f>
        <v>9.5367431640625E-4</v>
      </c>
      <c r="AC52" s="1">
        <v>3.0994415283203099E-3</v>
      </c>
      <c r="AD52" s="1">
        <v>1.9073486328125E-3</v>
      </c>
      <c r="AE52" t="b">
        <f t="shared" si="2"/>
        <v>1</v>
      </c>
      <c r="AF52">
        <f t="shared" si="3"/>
        <v>1.1920928955078099E-3</v>
      </c>
      <c r="AG52" cm="1">
        <f t="array" ref="AG52">IF(AE52,AF52,null)</f>
        <v>1.1920928955078099E-3</v>
      </c>
      <c r="AL52" s="1">
        <v>2.86102294921875E-3</v>
      </c>
      <c r="AM52" s="1">
        <v>1.9073486328125E-3</v>
      </c>
      <c r="AN52" t="b">
        <f t="shared" si="4"/>
        <v>1</v>
      </c>
      <c r="AO52">
        <f t="shared" si="5"/>
        <v>1</v>
      </c>
      <c r="AP52">
        <f t="shared" si="6"/>
        <v>9.5367431640625E-4</v>
      </c>
      <c r="AQ52" cm="1">
        <f t="array" ref="AQ52">IF(AN52,AP52,null)</f>
        <v>9.5367431640625E-4</v>
      </c>
    </row>
    <row r="53" spans="18:43">
      <c r="R53">
        <v>21</v>
      </c>
      <c r="S53" s="1">
        <v>2.6226043701171801E-3</v>
      </c>
      <c r="T53" s="1">
        <v>1.9073486328125E-3</v>
      </c>
      <c r="U53" t="b">
        <f t="shared" si="0"/>
        <v>1</v>
      </c>
      <c r="V53">
        <f t="shared" si="1"/>
        <v>7.1525573730468013E-4</v>
      </c>
      <c r="W53" cm="1">
        <f t="array" ref="W53">IF(U53, V53, null)</f>
        <v>7.1525573730468013E-4</v>
      </c>
      <c r="AC53" s="1">
        <v>1.9073486328125E-3</v>
      </c>
      <c r="AD53" s="1">
        <v>1.6689300537109299E-3</v>
      </c>
      <c r="AE53" t="b">
        <f t="shared" si="2"/>
        <v>1</v>
      </c>
      <c r="AF53">
        <f t="shared" si="3"/>
        <v>2.3841857910157009E-4</v>
      </c>
      <c r="AG53" cm="1">
        <f t="array" ref="AG53">IF(AE53,AF53,null)</f>
        <v>2.3841857910157009E-4</v>
      </c>
      <c r="AL53" s="1">
        <v>2.1457672119140599E-3</v>
      </c>
      <c r="AM53" s="1">
        <v>5.0067901611328099E-3</v>
      </c>
      <c r="AN53" t="b">
        <f t="shared" si="4"/>
        <v>0</v>
      </c>
      <c r="AO53">
        <f t="shared" si="5"/>
        <v>0</v>
      </c>
      <c r="AP53">
        <f t="shared" si="6"/>
        <v>-2.86102294921875E-3</v>
      </c>
    </row>
    <row r="54" spans="18:43">
      <c r="R54">
        <v>22</v>
      </c>
      <c r="S54" s="1">
        <v>3.0994415283203099E-3</v>
      </c>
      <c r="T54" s="1">
        <v>2.1457672119140599E-3</v>
      </c>
      <c r="U54" t="b">
        <f t="shared" si="0"/>
        <v>1</v>
      </c>
      <c r="V54">
        <f t="shared" si="1"/>
        <v>9.5367431640625E-4</v>
      </c>
      <c r="W54" cm="1">
        <f t="array" ref="W54">IF(U54, V54, null)</f>
        <v>9.5367431640625E-4</v>
      </c>
      <c r="AC54" s="1">
        <v>1.9073486328125E-3</v>
      </c>
      <c r="AD54" s="1">
        <v>1.9073486328125E-3</v>
      </c>
      <c r="AE54" t="b">
        <f t="shared" si="2"/>
        <v>0</v>
      </c>
      <c r="AF54">
        <f t="shared" si="3"/>
        <v>0</v>
      </c>
      <c r="AL54" s="1">
        <v>2.86102294921875E-3</v>
      </c>
      <c r="AM54" s="1">
        <v>2.1457672119140599E-3</v>
      </c>
      <c r="AN54" t="b">
        <f t="shared" si="4"/>
        <v>1</v>
      </c>
      <c r="AO54">
        <f t="shared" si="5"/>
        <v>1</v>
      </c>
      <c r="AP54">
        <f t="shared" si="6"/>
        <v>7.152557373046901E-4</v>
      </c>
      <c r="AQ54" cm="1">
        <f t="array" ref="AQ54">IF(AN54,AP54,null)</f>
        <v>7.152557373046901E-4</v>
      </c>
    </row>
    <row r="55" spans="18:43">
      <c r="R55">
        <v>23</v>
      </c>
      <c r="S55" s="1">
        <v>1.9073486328125E-3</v>
      </c>
      <c r="T55" s="1">
        <v>1.9073486328125E-3</v>
      </c>
      <c r="U55" t="b">
        <f t="shared" si="0"/>
        <v>0</v>
      </c>
      <c r="V55">
        <f t="shared" si="1"/>
        <v>0</v>
      </c>
      <c r="AC55" s="1">
        <v>1.9073486328125E-3</v>
      </c>
      <c r="AD55" s="1">
        <v>2.1457672119140599E-3</v>
      </c>
      <c r="AE55" t="b">
        <f t="shared" si="2"/>
        <v>0</v>
      </c>
      <c r="AF55">
        <f t="shared" si="3"/>
        <v>-2.384185791015599E-4</v>
      </c>
      <c r="AL55" s="1">
        <v>3.0994415283203099E-3</v>
      </c>
      <c r="AM55" s="1">
        <v>1.6689300537109299E-3</v>
      </c>
      <c r="AN55" t="b">
        <f t="shared" si="4"/>
        <v>1</v>
      </c>
      <c r="AO55">
        <f t="shared" si="5"/>
        <v>1</v>
      </c>
      <c r="AP55">
        <f t="shared" si="6"/>
        <v>1.43051147460938E-3</v>
      </c>
      <c r="AQ55" cm="1">
        <f t="array" ref="AQ55">IF(AN55,AP55,null)</f>
        <v>1.43051147460938E-3</v>
      </c>
    </row>
    <row r="56" spans="18:43">
      <c r="R56">
        <v>24</v>
      </c>
      <c r="S56" s="1">
        <v>2.1457672119140599E-3</v>
      </c>
      <c r="T56" s="1">
        <v>1.9073486328125E-3</v>
      </c>
      <c r="U56" t="b">
        <f t="shared" si="0"/>
        <v>1</v>
      </c>
      <c r="V56">
        <f t="shared" si="1"/>
        <v>2.384185791015599E-4</v>
      </c>
      <c r="W56" cm="1">
        <f t="array" ref="W56">IF(U56, V56, null)</f>
        <v>2.384185791015599E-4</v>
      </c>
      <c r="AC56" s="1">
        <v>2.1457672119140599E-3</v>
      </c>
      <c r="AD56" s="1">
        <v>1.9073486328125E-3</v>
      </c>
      <c r="AE56" t="b">
        <f t="shared" si="2"/>
        <v>1</v>
      </c>
      <c r="AF56">
        <f t="shared" si="3"/>
        <v>2.384185791015599E-4</v>
      </c>
      <c r="AG56" cm="1">
        <f t="array" ref="AG56">IF(AE56,AF56,null)</f>
        <v>2.384185791015599E-4</v>
      </c>
      <c r="AL56" s="1">
        <v>1.6689300537109299E-3</v>
      </c>
      <c r="AM56" s="1">
        <v>2.1457672119140599E-3</v>
      </c>
      <c r="AN56" t="b">
        <f t="shared" si="4"/>
        <v>0</v>
      </c>
      <c r="AO56">
        <f t="shared" si="5"/>
        <v>0</v>
      </c>
      <c r="AP56">
        <f t="shared" si="6"/>
        <v>-4.7683715820312999E-4</v>
      </c>
    </row>
    <row r="57" spans="18:43">
      <c r="R57">
        <v>25</v>
      </c>
      <c r="S57" s="1">
        <v>3.0994415283203099E-3</v>
      </c>
      <c r="T57" s="1">
        <v>1.9073486328125E-3</v>
      </c>
      <c r="U57" t="b">
        <f t="shared" si="0"/>
        <v>1</v>
      </c>
      <c r="V57">
        <f t="shared" si="1"/>
        <v>1.1920928955078099E-3</v>
      </c>
      <c r="W57" cm="1">
        <f t="array" ref="W57">IF(U57, V57, null)</f>
        <v>1.1920928955078099E-3</v>
      </c>
      <c r="AC57" s="1">
        <v>1.9073486328125E-3</v>
      </c>
      <c r="AD57" s="1">
        <v>3.0994415283203099E-3</v>
      </c>
      <c r="AE57" t="b">
        <f t="shared" si="2"/>
        <v>0</v>
      </c>
      <c r="AF57">
        <f t="shared" si="3"/>
        <v>-1.1920928955078099E-3</v>
      </c>
      <c r="AL57" s="1">
        <v>3.0994415283203099E-3</v>
      </c>
      <c r="AM57" s="1">
        <v>1.9073486328125E-3</v>
      </c>
      <c r="AN57" t="b">
        <f t="shared" si="4"/>
        <v>1</v>
      </c>
      <c r="AO57">
        <f t="shared" si="5"/>
        <v>1</v>
      </c>
      <c r="AP57">
        <f t="shared" si="6"/>
        <v>1.1920928955078099E-3</v>
      </c>
      <c r="AQ57" cm="1">
        <f t="array" ref="AQ57">IF(AN57,AP57,null)</f>
        <v>1.1920928955078099E-3</v>
      </c>
    </row>
    <row r="58" spans="18:43">
      <c r="R58">
        <v>26</v>
      </c>
      <c r="S58" s="1">
        <v>1.9073486328125E-3</v>
      </c>
      <c r="T58" s="1">
        <v>1.9073486328125E-3</v>
      </c>
      <c r="U58" t="b">
        <f>T58&lt;S58</f>
        <v>0</v>
      </c>
      <c r="V58">
        <f t="shared" si="1"/>
        <v>0</v>
      </c>
      <c r="AC58" s="1">
        <v>2.1457672119140599E-3</v>
      </c>
      <c r="AD58" s="1">
        <v>2.86102294921875E-3</v>
      </c>
      <c r="AE58" t="b">
        <f t="shared" si="2"/>
        <v>0</v>
      </c>
      <c r="AF58">
        <f t="shared" si="3"/>
        <v>-7.152557373046901E-4</v>
      </c>
      <c r="AL58" s="1">
        <v>1.9073486328125E-3</v>
      </c>
      <c r="AM58" s="1">
        <v>3.0994415283203099E-3</v>
      </c>
      <c r="AN58" t="b">
        <f t="shared" si="4"/>
        <v>0</v>
      </c>
      <c r="AO58">
        <f t="shared" si="5"/>
        <v>0</v>
      </c>
      <c r="AP58">
        <f t="shared" si="6"/>
        <v>-1.1920928955078099E-3</v>
      </c>
    </row>
    <row r="59" spans="18:43">
      <c r="R59">
        <v>27</v>
      </c>
      <c r="S59" s="1">
        <v>6.9141387939453099E-3</v>
      </c>
      <c r="T59" s="1">
        <v>2.1457672119140599E-3</v>
      </c>
      <c r="U59" t="b">
        <f t="shared" si="0"/>
        <v>1</v>
      </c>
      <c r="V59">
        <f t="shared" si="1"/>
        <v>4.76837158203125E-3</v>
      </c>
      <c r="W59" cm="1">
        <f t="array" ref="W59">IF(U59, V59, null)</f>
        <v>4.76837158203125E-3</v>
      </c>
      <c r="AC59" s="1">
        <v>1.52587890625E-2</v>
      </c>
      <c r="AD59" s="1">
        <v>1.1920928955078099E-3</v>
      </c>
      <c r="AE59" t="b">
        <f t="shared" si="2"/>
        <v>1</v>
      </c>
      <c r="AF59">
        <f t="shared" si="3"/>
        <v>1.4066696166992191E-2</v>
      </c>
      <c r="AG59" cm="1">
        <f t="array" ref="AG59">IF(AE59,AF59,null)</f>
        <v>1.4066696166992191E-2</v>
      </c>
      <c r="AL59" s="1">
        <v>2.8133392333984299E-2</v>
      </c>
      <c r="AM59" s="1">
        <v>2.1457672119140599E-3</v>
      </c>
      <c r="AN59" t="b">
        <f t="shared" si="4"/>
        <v>1</v>
      </c>
      <c r="AO59">
        <f t="shared" si="5"/>
        <v>1</v>
      </c>
      <c r="AP59">
        <f t="shared" si="6"/>
        <v>2.598762512207024E-2</v>
      </c>
      <c r="AQ59" cm="1">
        <f t="array" ref="AQ59">IF(AN59,AP59,null)</f>
        <v>2.598762512207024E-2</v>
      </c>
    </row>
    <row r="60" spans="18:43">
      <c r="R60">
        <v>28</v>
      </c>
      <c r="S60" s="1">
        <v>1.9073486328125E-3</v>
      </c>
      <c r="T60" s="1">
        <v>2.1457672119140599E-3</v>
      </c>
      <c r="U60" t="b">
        <f t="shared" si="0"/>
        <v>0</v>
      </c>
      <c r="V60">
        <f t="shared" si="1"/>
        <v>-2.384185791015599E-4</v>
      </c>
      <c r="AC60" s="1">
        <v>1.9073486328125E-3</v>
      </c>
      <c r="AD60" s="1">
        <v>2.1457672119140599E-3</v>
      </c>
      <c r="AE60" t="b">
        <f t="shared" si="2"/>
        <v>0</v>
      </c>
      <c r="AF60">
        <f t="shared" si="3"/>
        <v>-2.384185791015599E-4</v>
      </c>
      <c r="AL60" s="1">
        <v>5.0067901611328099E-3</v>
      </c>
      <c r="AM60" s="1">
        <v>2.6226043701171801E-3</v>
      </c>
      <c r="AN60" t="b">
        <f t="shared" si="4"/>
        <v>1</v>
      </c>
      <c r="AO60">
        <f t="shared" si="5"/>
        <v>1</v>
      </c>
      <c r="AP60">
        <f t="shared" si="6"/>
        <v>2.3841857910156298E-3</v>
      </c>
      <c r="AQ60" cm="1">
        <f t="array" ref="AQ60">IF(AN60,AP60,null)</f>
        <v>2.3841857910156298E-3</v>
      </c>
    </row>
    <row r="61" spans="18:43">
      <c r="R61">
        <v>29</v>
      </c>
      <c r="S61" s="1">
        <v>2.86102294921875E-3</v>
      </c>
      <c r="T61" s="1">
        <v>1.6689300537109299E-3</v>
      </c>
      <c r="U61" t="b">
        <f t="shared" si="0"/>
        <v>1</v>
      </c>
      <c r="V61">
        <f t="shared" si="1"/>
        <v>1.1920928955078201E-3</v>
      </c>
      <c r="W61" cm="1">
        <f t="array" ref="W61">IF(U61, V61, null)</f>
        <v>1.1920928955078201E-3</v>
      </c>
      <c r="AC61" s="1">
        <v>3.0994415283203099E-3</v>
      </c>
      <c r="AD61" s="1">
        <v>3.0994415283203099E-3</v>
      </c>
      <c r="AE61" t="b">
        <f t="shared" si="2"/>
        <v>0</v>
      </c>
      <c r="AF61">
        <f t="shared" si="3"/>
        <v>0</v>
      </c>
      <c r="AL61" s="1">
        <v>2.86102294921875E-3</v>
      </c>
      <c r="AM61" s="1">
        <v>5.9604644775390599E-3</v>
      </c>
      <c r="AN61" t="b">
        <f t="shared" si="4"/>
        <v>0</v>
      </c>
      <c r="AO61">
        <f t="shared" si="5"/>
        <v>0</v>
      </c>
      <c r="AP61">
        <f t="shared" si="6"/>
        <v>-3.0994415283203099E-3</v>
      </c>
    </row>
    <row r="62" spans="18:43">
      <c r="R62">
        <v>30</v>
      </c>
      <c r="S62" s="1">
        <v>3.0994415283203099E-3</v>
      </c>
      <c r="T62" s="1">
        <v>1.9073486328125E-3</v>
      </c>
      <c r="U62" t="b">
        <f t="shared" si="0"/>
        <v>1</v>
      </c>
      <c r="V62">
        <f t="shared" si="1"/>
        <v>1.1920928955078099E-3</v>
      </c>
      <c r="W62" cm="1">
        <f t="array" ref="W62">IF(U62, V62, null)</f>
        <v>1.1920928955078099E-3</v>
      </c>
      <c r="AC62" s="1">
        <v>3.0994415283203099E-3</v>
      </c>
      <c r="AD62" s="1">
        <v>2.1457672119140599E-3</v>
      </c>
      <c r="AE62" t="b">
        <f t="shared" si="2"/>
        <v>1</v>
      </c>
      <c r="AF62">
        <f t="shared" si="3"/>
        <v>9.5367431640625E-4</v>
      </c>
      <c r="AG62" cm="1">
        <f t="array" ref="AG62">IF(AE62,AF62,null)</f>
        <v>9.5367431640625E-4</v>
      </c>
      <c r="AL62" s="1">
        <v>1.9073486328125E-3</v>
      </c>
      <c r="AM62" s="1">
        <v>1.1920928955078101E-2</v>
      </c>
      <c r="AN62" t="b">
        <f t="shared" si="4"/>
        <v>0</v>
      </c>
      <c r="AO62">
        <f t="shared" si="5"/>
        <v>0</v>
      </c>
      <c r="AP62">
        <f t="shared" si="6"/>
        <v>-1.0013580322265601E-2</v>
      </c>
    </row>
    <row r="63" spans="18:43">
      <c r="R63">
        <v>31</v>
      </c>
      <c r="S63" s="1">
        <v>1.6689300537109299E-3</v>
      </c>
      <c r="T63" s="1">
        <v>9.5367431640625E-4</v>
      </c>
      <c r="U63" t="b">
        <f t="shared" si="0"/>
        <v>1</v>
      </c>
      <c r="V63">
        <f t="shared" si="1"/>
        <v>7.1525573730467991E-4</v>
      </c>
      <c r="W63" cm="1">
        <f t="array" ref="W63">IF(U63, V63, null)</f>
        <v>7.1525573730467991E-4</v>
      </c>
      <c r="AC63" s="1">
        <v>1.6689300537109299E-3</v>
      </c>
      <c r="AD63" s="1">
        <v>1.9073486328125E-3</v>
      </c>
      <c r="AE63" t="b">
        <f t="shared" si="2"/>
        <v>0</v>
      </c>
      <c r="AF63">
        <f t="shared" si="3"/>
        <v>-2.3841857910157009E-4</v>
      </c>
      <c r="AL63" s="1">
        <v>2.1457672119140599E-3</v>
      </c>
      <c r="AM63" s="1">
        <v>7.8678131103515608E-3</v>
      </c>
      <c r="AN63" t="b">
        <f t="shared" si="4"/>
        <v>0</v>
      </c>
      <c r="AO63">
        <f t="shared" si="5"/>
        <v>0</v>
      </c>
      <c r="AP63">
        <f t="shared" si="6"/>
        <v>-5.7220458984375009E-3</v>
      </c>
    </row>
    <row r="64" spans="18:43">
      <c r="R64">
        <v>32</v>
      </c>
      <c r="S64" s="1">
        <v>2.1457672119140599E-3</v>
      </c>
      <c r="T64" s="1">
        <v>9.5367431640625E-4</v>
      </c>
      <c r="U64" t="b">
        <f t="shared" si="0"/>
        <v>1</v>
      </c>
      <c r="V64">
        <f t="shared" si="1"/>
        <v>1.1920928955078099E-3</v>
      </c>
      <c r="W64" cm="1">
        <f t="array" ref="W64">IF(U64, V64, null)</f>
        <v>1.1920928955078099E-3</v>
      </c>
      <c r="AC64" s="1">
        <v>3.0994415283203099E-3</v>
      </c>
      <c r="AD64" s="1">
        <v>4.0531158447265599E-3</v>
      </c>
      <c r="AE64" t="b">
        <f t="shared" si="2"/>
        <v>0</v>
      </c>
      <c r="AF64">
        <f t="shared" si="3"/>
        <v>-9.5367431640625E-4</v>
      </c>
      <c r="AL64" s="1">
        <v>3.0994415283203099E-3</v>
      </c>
      <c r="AM64" s="1">
        <v>4.0531158447265599E-3</v>
      </c>
      <c r="AN64" t="b">
        <f t="shared" si="4"/>
        <v>0</v>
      </c>
      <c r="AO64">
        <f t="shared" si="5"/>
        <v>0</v>
      </c>
      <c r="AP64">
        <f t="shared" si="6"/>
        <v>-9.5367431640625E-4</v>
      </c>
    </row>
    <row r="65" spans="1:43">
      <c r="A65" t="s">
        <v>14</v>
      </c>
      <c r="R65">
        <v>33</v>
      </c>
      <c r="S65" s="1">
        <v>9.5367431640625E-4</v>
      </c>
      <c r="T65" s="1">
        <v>2.1457672119140599E-3</v>
      </c>
      <c r="U65" t="b">
        <f t="shared" si="0"/>
        <v>0</v>
      </c>
      <c r="V65">
        <f t="shared" si="1"/>
        <v>-1.1920928955078099E-3</v>
      </c>
      <c r="AC65" s="1">
        <v>2.1457672119140599E-3</v>
      </c>
      <c r="AD65" s="1">
        <v>4.0531158447265599E-3</v>
      </c>
      <c r="AE65" t="b">
        <f t="shared" si="2"/>
        <v>0</v>
      </c>
      <c r="AF65">
        <f t="shared" si="3"/>
        <v>-1.9073486328125E-3</v>
      </c>
      <c r="AL65" s="1">
        <v>1.9073486328125E-3</v>
      </c>
      <c r="AM65" s="1">
        <v>5.0067901611328099E-3</v>
      </c>
      <c r="AN65" t="b">
        <f t="shared" si="4"/>
        <v>0</v>
      </c>
      <c r="AO65">
        <f t="shared" si="5"/>
        <v>0</v>
      </c>
      <c r="AP65">
        <f t="shared" si="6"/>
        <v>-3.0994415283203099E-3</v>
      </c>
    </row>
    <row r="66" spans="1:43">
      <c r="A66" t="s">
        <v>0</v>
      </c>
      <c r="B66" t="s">
        <v>15</v>
      </c>
      <c r="C66" t="s">
        <v>17</v>
      </c>
      <c r="D66" t="s">
        <v>16</v>
      </c>
      <c r="R66">
        <v>34</v>
      </c>
      <c r="S66" s="1">
        <v>3.0994415283203099E-3</v>
      </c>
      <c r="T66" s="1">
        <v>1.6689300537109299E-3</v>
      </c>
      <c r="U66" t="b">
        <f t="shared" si="0"/>
        <v>1</v>
      </c>
      <c r="V66">
        <f t="shared" si="1"/>
        <v>1.43051147460938E-3</v>
      </c>
      <c r="W66" cm="1">
        <f t="array" ref="W66">IF(U66, V66, null)</f>
        <v>1.43051147460938E-3</v>
      </c>
      <c r="AC66" s="1">
        <v>3.0994415283203099E-3</v>
      </c>
      <c r="AD66" s="1">
        <v>2.86102294921875E-3</v>
      </c>
      <c r="AE66" t="b">
        <f t="shared" si="2"/>
        <v>1</v>
      </c>
      <c r="AF66">
        <f t="shared" si="3"/>
        <v>2.384185791015599E-4</v>
      </c>
      <c r="AG66" cm="1">
        <f t="array" ref="AG66">IF(AE66,AF66,null)</f>
        <v>2.384185791015599E-4</v>
      </c>
      <c r="AL66" s="1">
        <v>3.0994415283203099E-3</v>
      </c>
      <c r="AM66" s="1">
        <v>2.1457672119140599E-3</v>
      </c>
      <c r="AN66" t="b">
        <f t="shared" si="4"/>
        <v>1</v>
      </c>
      <c r="AO66">
        <f t="shared" si="5"/>
        <v>1</v>
      </c>
      <c r="AP66">
        <f t="shared" si="6"/>
        <v>9.5367431640625E-4</v>
      </c>
      <c r="AQ66" cm="1">
        <f t="array" ref="AQ66">IF(AN66,AP66,null)</f>
        <v>9.5367431640625E-4</v>
      </c>
    </row>
    <row r="67" spans="1:43">
      <c r="A67">
        <v>120.083</v>
      </c>
      <c r="B67">
        <v>213.60900000000001</v>
      </c>
      <c r="C67">
        <f>B67-A67</f>
        <v>93.52600000000001</v>
      </c>
      <c r="D67">
        <v>2</v>
      </c>
      <c r="F67" cm="1">
        <f t="array" ref="F67:H67">LINEST(C67:C69,D67:D69^{1,2})</f>
        <v>9379.200000000008</v>
      </c>
      <c r="G67">
        <v>-45595.623000000043</v>
      </c>
      <c r="H67">
        <v>53767.972000000053</v>
      </c>
      <c r="R67">
        <v>35</v>
      </c>
      <c r="S67" s="1">
        <v>2.1457672119140599E-3</v>
      </c>
      <c r="T67" s="1">
        <v>1.9073486328125E-3</v>
      </c>
      <c r="U67" t="b">
        <f t="shared" si="0"/>
        <v>1</v>
      </c>
      <c r="V67">
        <f t="shared" si="1"/>
        <v>2.384185791015599E-4</v>
      </c>
      <c r="W67" cm="1">
        <f t="array" ref="W67">IF(U67, V67, null)</f>
        <v>2.384185791015599E-4</v>
      </c>
      <c r="AC67" s="1">
        <v>3.0994415283203099E-3</v>
      </c>
      <c r="AD67" s="1">
        <v>1.9073486328125E-3</v>
      </c>
      <c r="AE67" t="b">
        <f t="shared" si="2"/>
        <v>1</v>
      </c>
      <c r="AF67">
        <f t="shared" si="3"/>
        <v>1.1920928955078099E-3</v>
      </c>
      <c r="AG67" cm="1">
        <f t="array" ref="AG67">IF(AE67,AF67,null)</f>
        <v>1.1920928955078099E-3</v>
      </c>
      <c r="AL67" s="1">
        <v>3.0994415283203099E-3</v>
      </c>
      <c r="AM67" s="1">
        <v>4.0531158447265599E-3</v>
      </c>
      <c r="AN67" t="b">
        <f t="shared" si="4"/>
        <v>0</v>
      </c>
      <c r="AO67">
        <f t="shared" si="5"/>
        <v>0</v>
      </c>
      <c r="AP67">
        <f t="shared" si="6"/>
        <v>-9.5367431640625E-4</v>
      </c>
    </row>
    <row r="68" spans="1:43">
      <c r="A68">
        <v>1902.8409999999999</v>
      </c>
      <c r="B68">
        <v>3296.7440000000001</v>
      </c>
      <c r="C68">
        <f t="shared" ref="C68:C70" si="7">B68-A68</f>
        <v>1393.9030000000002</v>
      </c>
      <c r="D68">
        <v>3</v>
      </c>
      <c r="F68" cm="1">
        <f t="array" ref="F68:G68">LINEST(C67:C69,D67:D69^{1})</f>
        <v>10679.576999999999</v>
      </c>
      <c r="G68">
        <v>-24392.027999999998</v>
      </c>
      <c r="R68">
        <v>36</v>
      </c>
      <c r="S68" s="1">
        <v>1.9073486328125E-3</v>
      </c>
      <c r="T68" s="1">
        <v>1.9073486328125E-3</v>
      </c>
      <c r="U68" t="b">
        <f t="shared" si="0"/>
        <v>0</v>
      </c>
      <c r="V68">
        <f t="shared" si="1"/>
        <v>0</v>
      </c>
      <c r="AC68" s="1">
        <v>1.9073486328125E-3</v>
      </c>
      <c r="AD68" s="1">
        <v>2.86102294921875E-3</v>
      </c>
      <c r="AE68" t="b">
        <f t="shared" si="2"/>
        <v>0</v>
      </c>
      <c r="AF68">
        <f t="shared" si="3"/>
        <v>-9.5367431640625E-4</v>
      </c>
      <c r="AL68" s="1">
        <v>2.86102294921875E-3</v>
      </c>
      <c r="AM68" s="1">
        <v>5.0067901611328099E-3</v>
      </c>
      <c r="AN68" t="b">
        <f t="shared" si="4"/>
        <v>0</v>
      </c>
      <c r="AO68">
        <f t="shared" si="5"/>
        <v>0</v>
      </c>
      <c r="AP68">
        <f t="shared" si="6"/>
        <v>-2.1457672119140599E-3</v>
      </c>
    </row>
    <row r="69" spans="1:43">
      <c r="A69">
        <v>30158.742999999999</v>
      </c>
      <c r="B69">
        <v>51611.423000000003</v>
      </c>
      <c r="C69">
        <f t="shared" si="7"/>
        <v>21452.680000000004</v>
      </c>
      <c r="D69">
        <v>4</v>
      </c>
      <c r="R69">
        <v>37</v>
      </c>
      <c r="S69" s="1">
        <v>2.1457672119140599E-3</v>
      </c>
      <c r="T69" s="1">
        <v>2.1457672119140599E-3</v>
      </c>
      <c r="U69" t="b">
        <f t="shared" si="0"/>
        <v>0</v>
      </c>
      <c r="V69">
        <f t="shared" si="1"/>
        <v>0</v>
      </c>
      <c r="AC69" s="1">
        <v>2.1457672119140599E-3</v>
      </c>
      <c r="AD69" s="1">
        <v>4.0531158447265599E-3</v>
      </c>
      <c r="AE69" t="b">
        <f t="shared" si="2"/>
        <v>0</v>
      </c>
      <c r="AF69">
        <f t="shared" si="3"/>
        <v>-1.9073486328125E-3</v>
      </c>
      <c r="AL69" s="1">
        <v>3.0994415283203099E-3</v>
      </c>
      <c r="AM69" s="1">
        <v>8.3446502685546806E-3</v>
      </c>
      <c r="AN69" t="b">
        <f t="shared" si="4"/>
        <v>0</v>
      </c>
      <c r="AO69">
        <f t="shared" si="5"/>
        <v>0</v>
      </c>
      <c r="AP69">
        <f t="shared" si="6"/>
        <v>-5.2452087402343707E-3</v>
      </c>
    </row>
    <row r="70" spans="1:43">
      <c r="A70">
        <v>53642.125999999997</v>
      </c>
      <c r="B70">
        <v>82655.05</v>
      </c>
      <c r="C70">
        <f t="shared" si="7"/>
        <v>29012.924000000006</v>
      </c>
      <c r="D70">
        <v>2</v>
      </c>
      <c r="R70">
        <v>38</v>
      </c>
      <c r="S70" s="1">
        <v>1.9073486328125E-3</v>
      </c>
      <c r="T70" s="1">
        <v>2.1457672119140599E-3</v>
      </c>
      <c r="U70" t="b">
        <f t="shared" si="0"/>
        <v>0</v>
      </c>
      <c r="V70">
        <f t="shared" si="1"/>
        <v>-2.384185791015599E-4</v>
      </c>
      <c r="AC70" s="1">
        <v>3.0994415283203099E-3</v>
      </c>
      <c r="AD70" s="1">
        <v>3.0994415283203099E-3</v>
      </c>
      <c r="AE70" t="b">
        <f t="shared" si="2"/>
        <v>0</v>
      </c>
      <c r="AF70">
        <f t="shared" si="3"/>
        <v>0</v>
      </c>
      <c r="AL70" s="1">
        <v>1.6689300537109299E-3</v>
      </c>
      <c r="AM70" s="1">
        <v>6.9141387939453099E-3</v>
      </c>
      <c r="AN70" t="b">
        <f t="shared" si="4"/>
        <v>0</v>
      </c>
      <c r="AO70">
        <f t="shared" si="5"/>
        <v>0</v>
      </c>
      <c r="AP70">
        <f t="shared" si="6"/>
        <v>-5.2452087402343802E-3</v>
      </c>
    </row>
    <row r="71" spans="1:43">
      <c r="R71">
        <v>39</v>
      </c>
      <c r="S71" s="1">
        <v>2.86102294921875E-3</v>
      </c>
      <c r="T71" s="1">
        <v>9.5367431640625E-4</v>
      </c>
      <c r="U71" t="b">
        <f t="shared" si="0"/>
        <v>1</v>
      </c>
      <c r="V71">
        <f t="shared" si="1"/>
        <v>1.9073486328125E-3</v>
      </c>
      <c r="W71" cm="1">
        <f t="array" ref="W71">IF(U71, V71, null)</f>
        <v>1.9073486328125E-3</v>
      </c>
      <c r="AC71" s="1">
        <v>3.0994415283203099E-3</v>
      </c>
      <c r="AD71" s="1">
        <v>2.1457672119140599E-3</v>
      </c>
      <c r="AE71" t="b">
        <f t="shared" si="2"/>
        <v>1</v>
      </c>
      <c r="AF71">
        <f t="shared" si="3"/>
        <v>9.5367431640625E-4</v>
      </c>
      <c r="AG71" cm="1">
        <f t="array" ref="AG71">IF(AE71,AF71,null)</f>
        <v>9.5367431640625E-4</v>
      </c>
      <c r="AL71" s="1">
        <v>2.1457672119140599E-3</v>
      </c>
      <c r="AM71" s="1">
        <v>5.2452087402343698E-3</v>
      </c>
      <c r="AN71" t="b">
        <f t="shared" si="4"/>
        <v>0</v>
      </c>
      <c r="AO71">
        <f t="shared" si="5"/>
        <v>0</v>
      </c>
      <c r="AP71">
        <f t="shared" si="6"/>
        <v>-3.0994415283203099E-3</v>
      </c>
    </row>
    <row r="72" spans="1:43">
      <c r="R72">
        <v>40</v>
      </c>
      <c r="S72" s="1">
        <v>2.1457672119140599E-3</v>
      </c>
      <c r="T72" s="1">
        <v>1.1920928955078099E-3</v>
      </c>
      <c r="U72" t="b">
        <f t="shared" si="0"/>
        <v>1</v>
      </c>
      <c r="V72">
        <f t="shared" si="1"/>
        <v>9.5367431640625E-4</v>
      </c>
      <c r="W72" cm="1">
        <f t="array" ref="W72">IF(U72, V72, null)</f>
        <v>9.5367431640625E-4</v>
      </c>
      <c r="AC72" s="1">
        <v>3.0994415283203099E-3</v>
      </c>
      <c r="AD72" s="1">
        <v>7.1525573730468696E-4</v>
      </c>
      <c r="AE72" t="b">
        <f t="shared" si="2"/>
        <v>1</v>
      </c>
      <c r="AF72">
        <f t="shared" si="3"/>
        <v>2.3841857910156228E-3</v>
      </c>
      <c r="AG72" cm="1">
        <f t="array" ref="AG72">IF(AE72,AF72,null)</f>
        <v>2.3841857910156228E-3</v>
      </c>
      <c r="AL72" s="1">
        <v>2.6226043701171801E-3</v>
      </c>
      <c r="AM72" s="1">
        <v>1.1920928955078099E-3</v>
      </c>
      <c r="AN72" t="b">
        <f t="shared" si="4"/>
        <v>1</v>
      </c>
      <c r="AO72">
        <f t="shared" si="5"/>
        <v>1</v>
      </c>
      <c r="AP72">
        <f t="shared" si="6"/>
        <v>1.4305114746093702E-3</v>
      </c>
      <c r="AQ72" cm="1">
        <f t="array" ref="AQ72">IF(AN72,AP72,null)</f>
        <v>1.4305114746093702E-3</v>
      </c>
    </row>
    <row r="73" spans="1:43">
      <c r="R73">
        <v>41</v>
      </c>
      <c r="S73" s="1">
        <v>2.1457672119140599E-3</v>
      </c>
      <c r="T73" s="1">
        <v>9.5367431640625E-4</v>
      </c>
      <c r="U73" t="b">
        <f t="shared" si="0"/>
        <v>1</v>
      </c>
      <c r="V73">
        <f t="shared" si="1"/>
        <v>1.1920928955078099E-3</v>
      </c>
      <c r="W73" cm="1">
        <f t="array" ref="W73">IF(U73, V73, null)</f>
        <v>1.1920928955078099E-3</v>
      </c>
      <c r="AC73" s="1">
        <v>3.0994415283203099E-3</v>
      </c>
      <c r="AD73" s="1">
        <v>1.9073486328125E-3</v>
      </c>
      <c r="AE73" t="b">
        <f t="shared" si="2"/>
        <v>1</v>
      </c>
      <c r="AF73">
        <f t="shared" si="3"/>
        <v>1.1920928955078099E-3</v>
      </c>
      <c r="AG73" cm="1">
        <f t="array" ref="AG73">IF(AE73,AF73,null)</f>
        <v>1.1920928955078099E-3</v>
      </c>
      <c r="AL73" s="1">
        <v>2.1457672119140599E-3</v>
      </c>
      <c r="AM73" s="1">
        <v>2.1457672119140599E-3</v>
      </c>
      <c r="AN73" t="b">
        <f t="shared" si="4"/>
        <v>0</v>
      </c>
      <c r="AO73">
        <f t="shared" si="5"/>
        <v>0</v>
      </c>
      <c r="AP73">
        <f t="shared" si="6"/>
        <v>0</v>
      </c>
    </row>
    <row r="74" spans="1:43">
      <c r="R74">
        <v>42</v>
      </c>
      <c r="S74" s="1">
        <v>1.9073486328125E-3</v>
      </c>
      <c r="T74" s="1">
        <v>1.9073486328125E-3</v>
      </c>
      <c r="U74" t="b">
        <f t="shared" si="0"/>
        <v>0</v>
      </c>
      <c r="V74">
        <f t="shared" si="1"/>
        <v>0</v>
      </c>
      <c r="AC74" s="1">
        <v>2.1457672119140599E-3</v>
      </c>
      <c r="AD74" s="1">
        <v>2.1457672119140599E-3</v>
      </c>
      <c r="AE74" t="b">
        <f t="shared" si="2"/>
        <v>0</v>
      </c>
      <c r="AF74">
        <f t="shared" si="3"/>
        <v>0</v>
      </c>
      <c r="AL74" s="1">
        <v>2.86102294921875E-3</v>
      </c>
      <c r="AM74" s="1">
        <v>1.6689300537109299E-3</v>
      </c>
      <c r="AN74" t="b">
        <f t="shared" si="4"/>
        <v>1</v>
      </c>
      <c r="AO74">
        <f t="shared" si="5"/>
        <v>1</v>
      </c>
      <c r="AP74">
        <f t="shared" si="6"/>
        <v>1.1920928955078201E-3</v>
      </c>
      <c r="AQ74" cm="1">
        <f t="array" ref="AQ74">IF(AN74,AP74,null)</f>
        <v>1.1920928955078201E-3</v>
      </c>
    </row>
    <row r="75" spans="1:43">
      <c r="R75">
        <v>43</v>
      </c>
      <c r="S75" s="1">
        <v>3.0994415283203099E-3</v>
      </c>
      <c r="T75" s="1">
        <v>1.9073486328125E-3</v>
      </c>
      <c r="U75" t="b">
        <f t="shared" si="0"/>
        <v>1</v>
      </c>
      <c r="V75">
        <f t="shared" si="1"/>
        <v>1.1920928955078099E-3</v>
      </c>
      <c r="W75" cm="1">
        <f t="array" ref="W75">IF(U75, V75, null)</f>
        <v>1.1920928955078099E-3</v>
      </c>
      <c r="AC75" s="1">
        <v>1.9073486328125E-3</v>
      </c>
      <c r="AD75" s="1">
        <v>2.1457672119140599E-3</v>
      </c>
      <c r="AE75" t="b">
        <f t="shared" si="2"/>
        <v>0</v>
      </c>
      <c r="AF75">
        <f t="shared" si="3"/>
        <v>-2.384185791015599E-4</v>
      </c>
      <c r="AL75" s="1">
        <v>3.0994415283203099E-3</v>
      </c>
      <c r="AM75" s="1">
        <v>5.0067901611328099E-3</v>
      </c>
      <c r="AN75" t="b">
        <f t="shared" si="4"/>
        <v>0</v>
      </c>
      <c r="AO75">
        <f t="shared" si="5"/>
        <v>0</v>
      </c>
      <c r="AP75">
        <f t="shared" si="6"/>
        <v>-1.9073486328125E-3</v>
      </c>
    </row>
    <row r="76" spans="1:43">
      <c r="R76">
        <v>44</v>
      </c>
      <c r="S76" s="1">
        <v>2.1457672119140599E-3</v>
      </c>
      <c r="T76" s="1">
        <v>1.9073486328125E-3</v>
      </c>
      <c r="U76" t="b">
        <f t="shared" si="0"/>
        <v>1</v>
      </c>
      <c r="V76">
        <f t="shared" si="1"/>
        <v>2.384185791015599E-4</v>
      </c>
      <c r="W76" cm="1">
        <f t="array" ref="W76">IF(U76, V76, null)</f>
        <v>2.384185791015599E-4</v>
      </c>
      <c r="AC76" s="1">
        <v>1.9073486328125E-3</v>
      </c>
      <c r="AD76" s="1">
        <v>6.9141387939453099E-3</v>
      </c>
      <c r="AE76" t="b">
        <f t="shared" si="2"/>
        <v>0</v>
      </c>
      <c r="AF76">
        <f t="shared" si="3"/>
        <v>-5.0067901611328099E-3</v>
      </c>
      <c r="AL76" s="1">
        <v>2.1457672119140599E-3</v>
      </c>
      <c r="AM76" s="1">
        <v>1.3113021850585899E-2</v>
      </c>
      <c r="AN76" t="b">
        <f t="shared" si="4"/>
        <v>0</v>
      </c>
      <c r="AO76">
        <f t="shared" si="5"/>
        <v>0</v>
      </c>
      <c r="AP76">
        <f t="shared" si="6"/>
        <v>-1.096725463867184E-2</v>
      </c>
    </row>
    <row r="77" spans="1:43">
      <c r="R77">
        <v>45</v>
      </c>
      <c r="S77" s="1">
        <v>2.86102294921875E-3</v>
      </c>
      <c r="T77" s="1">
        <v>4.2915344238281198E-3</v>
      </c>
      <c r="U77" t="b">
        <f t="shared" si="0"/>
        <v>0</v>
      </c>
      <c r="V77">
        <f t="shared" si="1"/>
        <v>-1.4305114746093698E-3</v>
      </c>
      <c r="AC77" s="1">
        <v>3.0994415283203099E-3</v>
      </c>
      <c r="AD77" s="1">
        <v>6.1988830566406198E-3</v>
      </c>
      <c r="AE77" t="b">
        <f t="shared" si="2"/>
        <v>0</v>
      </c>
      <c r="AF77">
        <f t="shared" si="3"/>
        <v>-3.0994415283203099E-3</v>
      </c>
      <c r="AL77" s="1">
        <v>3.814697265625E-3</v>
      </c>
      <c r="AM77" s="1">
        <v>1.0013580322265601E-2</v>
      </c>
      <c r="AN77" t="b">
        <f t="shared" si="4"/>
        <v>0</v>
      </c>
      <c r="AO77">
        <f t="shared" si="5"/>
        <v>0</v>
      </c>
      <c r="AP77">
        <f t="shared" si="6"/>
        <v>-6.1988830566406007E-3</v>
      </c>
    </row>
    <row r="78" spans="1:43">
      <c r="R78">
        <v>46</v>
      </c>
      <c r="S78" s="1">
        <v>1.9073486328125E-3</v>
      </c>
      <c r="T78" s="1">
        <v>9.5367431640625E-4</v>
      </c>
      <c r="U78" t="b">
        <f t="shared" si="0"/>
        <v>1</v>
      </c>
      <c r="V78">
        <f t="shared" si="1"/>
        <v>9.5367431640625E-4</v>
      </c>
      <c r="W78" cm="1">
        <f t="array" ref="W78">IF(U78, V78, null)</f>
        <v>9.5367431640625E-4</v>
      </c>
      <c r="AC78" s="1">
        <v>1.9073486328125E-3</v>
      </c>
      <c r="AD78" s="1">
        <v>2.1457672119140599E-3</v>
      </c>
      <c r="AE78" t="b">
        <f t="shared" si="2"/>
        <v>0</v>
      </c>
      <c r="AF78">
        <f t="shared" si="3"/>
        <v>-2.384185791015599E-4</v>
      </c>
      <c r="AL78" s="1">
        <v>6.1988830566406198E-3</v>
      </c>
      <c r="AM78" s="1">
        <v>1.9073486328125E-3</v>
      </c>
      <c r="AN78" t="b">
        <f t="shared" si="4"/>
        <v>1</v>
      </c>
      <c r="AO78">
        <f t="shared" si="5"/>
        <v>1</v>
      </c>
      <c r="AP78">
        <f t="shared" si="6"/>
        <v>4.2915344238281198E-3</v>
      </c>
      <c r="AQ78" cm="1">
        <f t="array" ref="AQ78">IF(AN78,AP78,null)</f>
        <v>4.2915344238281198E-3</v>
      </c>
    </row>
    <row r="79" spans="1:43">
      <c r="V79">
        <f>AVERAGE(V33:V78)</f>
        <v>1.1247137318486744E-3</v>
      </c>
      <c r="W79">
        <f>AVERAGE(W33:W78)</f>
        <v>1.7657876014709455E-3</v>
      </c>
      <c r="AG79">
        <f>AVERAGE(AG33:AG75)</f>
        <v>3.5674483687789305E-3</v>
      </c>
      <c r="AO79">
        <f>SUM(AO33:AO78)</f>
        <v>20</v>
      </c>
      <c r="AQ79">
        <f>AVERAGE(AQ33:AQ78)</f>
        <v>7.7605247497558507E-3</v>
      </c>
    </row>
    <row r="87" spans="1:2">
      <c r="A87">
        <v>2</v>
      </c>
      <c r="B87">
        <f>(4^A87) *(3^A87)</f>
        <v>144</v>
      </c>
    </row>
    <row r="88" spans="1:2">
      <c r="A88">
        <v>3</v>
      </c>
      <c r="B88">
        <f t="shared" ref="B88:B89" si="8">4^A88 * 3^A88</f>
        <v>1728</v>
      </c>
    </row>
    <row r="89" spans="1:2">
      <c r="A89">
        <v>4</v>
      </c>
      <c r="B89">
        <f t="shared" si="8"/>
        <v>20736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Edwards</dc:creator>
  <cp:lastModifiedBy>Marcus Edwards</cp:lastModifiedBy>
  <dcterms:created xsi:type="dcterms:W3CDTF">2024-12-09T22:58:44Z</dcterms:created>
  <dcterms:modified xsi:type="dcterms:W3CDTF">2024-12-16T21:24:42Z</dcterms:modified>
</cp:coreProperties>
</file>